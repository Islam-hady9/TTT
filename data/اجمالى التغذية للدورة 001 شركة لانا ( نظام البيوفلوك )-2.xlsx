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\Desktop\NABCO\001\"/>
    </mc:Choice>
  </mc:AlternateContent>
  <xr:revisionPtr revIDLastSave="0" documentId="13_ncr:1_{84ED4E44-805E-4D18-9FA5-6FC34799E1BE}" xr6:coauthVersionLast="47" xr6:coauthVersionMax="47" xr10:uidLastSave="{00000000-0000-0000-0000-000000000000}"/>
  <bookViews>
    <workbookView xWindow="-120" yWindow="-120" windowWidth="20730" windowHeight="11160" xr2:uid="{5F1DCFAF-379D-4573-904A-20BB7F12AF46}"/>
  </bookViews>
  <sheets>
    <sheet name="TOTAL_YEAR " sheetId="4" r:id="rId1"/>
    <sheet name="TOTAL_TANKS" sheetId="7" r:id="rId2"/>
    <sheet name="OCT_2025" sheetId="1" r:id="rId3"/>
    <sheet name="NOV_2025" sheetId="2" r:id="rId4"/>
    <sheet name="DEC_2025" sheetId="3" r:id="rId5"/>
    <sheet name="JAN_2026" sheetId="5" r:id="rId6"/>
    <sheet name="FEB_2026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7" l="1"/>
  <c r="D14" i="7"/>
  <c r="D13" i="7"/>
  <c r="D12" i="7"/>
  <c r="D11" i="7"/>
  <c r="D10" i="7"/>
  <c r="D9" i="7"/>
  <c r="D8" i="7"/>
  <c r="D7" i="7"/>
  <c r="D6" i="7"/>
  <c r="D5" i="7"/>
  <c r="D4" i="7"/>
  <c r="D3" i="7"/>
  <c r="D2" i="7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2" i="2"/>
  <c r="P32" i="2" s="1"/>
  <c r="D3" i="4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2" i="1"/>
  <c r="P3" i="1"/>
  <c r="P4" i="1"/>
  <c r="P5" i="1"/>
  <c r="P33" i="1" s="1"/>
  <c r="D2" i="4" s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D16" i="7" l="1"/>
  <c r="P33" i="3"/>
  <c r="D4" i="4" s="1"/>
  <c r="P30" i="6"/>
  <c r="P33" i="5"/>
  <c r="D5" i="4" s="1"/>
  <c r="G55" i="1"/>
  <c r="G57" i="1" s="1"/>
  <c r="D6" i="4" l="1"/>
</calcChain>
</file>

<file path=xl/sharedStrings.xml><?xml version="1.0" encoding="utf-8"?>
<sst xmlns="http://schemas.openxmlformats.org/spreadsheetml/2006/main" count="133" uniqueCount="41">
  <si>
    <t>اجمالى العلف</t>
  </si>
  <si>
    <t>اجمالى علف الشهر</t>
  </si>
  <si>
    <t>Total</t>
  </si>
  <si>
    <t>-</t>
  </si>
  <si>
    <t>pre-grow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</si>
  <si>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</si>
  <si>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</si>
  <si>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</si>
  <si>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</si>
  <si>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</si>
  <si>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</si>
  <si>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</si>
  <si>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</si>
  <si>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</si>
  <si>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</si>
  <si>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</si>
  <si>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</si>
  <si>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</si>
  <si>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b7</t>
  </si>
  <si>
    <t>feed(KG)</t>
  </si>
  <si>
    <t>stage</t>
  </si>
  <si>
    <t>tank</t>
  </si>
  <si>
    <t>stage_sequance</t>
  </si>
  <si>
    <t>month</t>
  </si>
  <si>
    <t>date</t>
  </si>
  <si>
    <t>tank_a1</t>
  </si>
  <si>
    <t>tank_a2</t>
  </si>
  <si>
    <t>tank_a3</t>
  </si>
  <si>
    <t>tank_a4</t>
  </si>
  <si>
    <t>tank_a5</t>
  </si>
  <si>
    <t>tank_a6</t>
  </si>
  <si>
    <t>tank_a7</t>
  </si>
  <si>
    <t>tank_b1</t>
  </si>
  <si>
    <t>tank_b2</t>
  </si>
  <si>
    <t>tank_b3</t>
  </si>
  <si>
    <t>tank_b4</t>
  </si>
  <si>
    <t>tank_b5</t>
  </si>
  <si>
    <t>tank_b6</t>
  </si>
  <si>
    <t>tank_b7</t>
  </si>
  <si>
    <t>daily_total</t>
  </si>
  <si>
    <t>feed(kg)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</si>
</sst>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63A4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7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9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165" formatCode="yyyy\-mm\-dd;@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165" formatCode="yyyy\-mm\-dd;@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165" formatCode="yyyy\-mm\-dd;@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165" formatCode="yyyy\-mm\-dd;@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165" formatCode="yyyy\-mm\-dd;@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</border>
    </dxf>
    <dxf>
      <numFmt numFmtId="0" formatCode="General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m\-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1"/>
        </left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D46102-D0E8-42A9-8B0F-874BE972ABA9}" name="Table7" displayName="Table7" ref="A1:D6" totalsRowCount="1" headerRowDxfId="193" dataDxfId="192" totalsRowDxfId="190" tableBorderDxfId="191">
  <autoFilter ref="A1:D5" xr:uid="{A7D46102-D0E8-42A9-8B0F-874BE972ABA9}">
    <filterColumn colId="0" hiddenButton="1"/>
    <filterColumn colId="1" hiddenButton="1"/>
    <filterColumn colId="2" hiddenButton="1"/>
    <filterColumn colId="3" hiddenButton="1"/>
  </autoFilter>
  <tableColumns count="4">
    <tableColumn id="1" xr3:uid="{E250184A-6845-4D9A-B5C9-795BE0084521}" name="month" totalsRowLabel="Total" dataDxfId="189" totalsRowDxfId="3"/>
    <tableColumn id="4" xr3:uid="{7CA7BB46-224B-4109-B002-D4DC527B10AB}" name="stage_sequance" dataDxfId="188" totalsRowDxfId="2"/>
    <tableColumn id="2" xr3:uid="{DAB7CFDE-D1F1-4487-B1FF-87D6A865BE82}" name="stage" dataDxfId="187" totalsRowDxfId="1"/>
    <tableColumn id="3" xr3:uid="{E365C6E8-D2FF-4219-8DD3-F08A80613393}" name="feed(kg)" totalsRowFunction="sum" dataDxfId="186" totalsRowDxfId="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15667-E4BE-4A32-8349-9331BBC38F5A}" name="Table73" displayName="Table73" ref="A1:D16" totalsRowCount="1" headerRowDxfId="185" dataDxfId="184" totalsRowDxfId="182" tableBorderDxfId="183">
  <autoFilter ref="A1:D15" xr:uid="{A7D46102-D0E8-42A9-8B0F-874BE972ABA9}">
    <filterColumn colId="0" hiddenButton="1"/>
    <filterColumn colId="1" hiddenButton="1"/>
    <filterColumn colId="2" hiddenButton="1"/>
    <filterColumn colId="3" hiddenButton="1"/>
  </autoFilter>
  <tableColumns count="4">
    <tableColumn id="1" xr3:uid="{B619FC35-0D4E-497D-9E49-A3C468ECD5E0}" name="tank" totalsRowLabel="Total" dataDxfId="181" totalsRowDxfId="180"/>
    <tableColumn id="4" xr3:uid="{5DF5B06E-2ADD-47F3-B0D9-B9FA9CE054BD}" name="stage_sequance" dataDxfId="179" totalsRowDxfId="178"/>
    <tableColumn id="2" xr3:uid="{59B99552-C6C1-40CC-8ADF-4228D80CE6B4}" name="stage" dataDxfId="177" totalsRowDxfId="176"/>
    <tableColumn id="3" xr3:uid="{BC3FBCD4-DA1A-4B3D-9871-95CB0FEDEF76}" name="feed(KG)" totalsRowFunction="sum" dataDxfId="175" totalsRowDxfId="174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92D0B-9FFD-4499-A671-D42AC2F87282}" name="Table1" displayName="Table1" ref="A1:P33" totalsRowCount="1" headerRowDxfId="173" dataDxfId="172">
  <autoFilter ref="A1:P32" xr:uid="{E2192D0B-9FFD-4499-A671-D42AC2F872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8DBB19E-BDE8-4758-AF8F-E499AEB88CB2}" name="date" totalsRowLabel="Total" dataDxfId="171" totalsRowDxfId="170"/>
    <tableColumn id="2" xr3:uid="{2A145235-F375-487D-A704-42D6BA8447BE}" name="tank_a1" totalsRowFunction="sum" dataDxfId="169" totalsRowDxfId="168"/>
    <tableColumn id="3" xr3:uid="{9BB7EB6C-FE65-477E-9655-9B3DF6D2A965}" name="tank_a2" totalsRowFunction="sum" dataDxfId="167" totalsRowDxfId="166"/>
    <tableColumn id="4" xr3:uid="{F2A5DEBF-251B-49A2-94CB-03EA23FE8D66}" name="tank_a3" totalsRowFunction="sum" dataDxfId="165" totalsRowDxfId="164"/>
    <tableColumn id="5" xr3:uid="{EC57D754-209E-464A-AD78-AF17DCF675CC}" name="tank_a4" totalsRowFunction="sum" dataDxfId="163" totalsRowDxfId="162"/>
    <tableColumn id="6" xr3:uid="{8B1CA836-23F1-481E-BDCF-40F968B59560}" name="tank_a5" totalsRowFunction="sum" dataDxfId="161" totalsRowDxfId="160"/>
    <tableColumn id="7" xr3:uid="{097D1C84-4FB2-43CB-844B-AD624D9EEABA}" name="tank_a6" totalsRowFunction="sum" dataDxfId="159" totalsRowDxfId="158"/>
    <tableColumn id="8" xr3:uid="{6F337E31-761A-4093-AEC6-F5E3F82F08BF}" name="tank_a7" totalsRowFunction="sum" dataDxfId="157" totalsRowDxfId="156"/>
    <tableColumn id="9" xr3:uid="{0F782032-CE34-46AC-A542-A15CB23F37A9}" name="tank_b1" totalsRowFunction="sum" dataDxfId="155" totalsRowDxfId="154"/>
    <tableColumn id="10" xr3:uid="{96FEF5D9-12AA-41D9-B2AD-63321FD8E3AE}" name="tank_b2" totalsRowFunction="sum" dataDxfId="153" totalsRowDxfId="152"/>
    <tableColumn id="11" xr3:uid="{231F94A7-728F-44C8-A6AC-9D2A76642374}" name="tank_b3" totalsRowFunction="sum" dataDxfId="151" totalsRowDxfId="150"/>
    <tableColumn id="12" xr3:uid="{2DB36CB1-044C-49DD-B718-B22981E65749}" name="tank_b4" totalsRowFunction="sum" dataDxfId="149" totalsRowDxfId="148"/>
    <tableColumn id="13" xr3:uid="{466ACEF7-F47B-4DFA-A88B-8A70CC1D0CD5}" name="tank_b5" totalsRowFunction="sum" dataDxfId="147" totalsRowDxfId="146"/>
    <tableColumn id="14" xr3:uid="{BDED8948-ED9B-4388-AA9E-7B875B48E8E2}" name="tank_b6" totalsRowFunction="sum" dataDxfId="145" totalsRowDxfId="144"/>
    <tableColumn id="15" xr3:uid="{A1F87719-4889-4692-B67E-69F02393DA11}" name="tank_b7" totalsRowFunction="sum" dataDxfId="143" totalsRowDxfId="142"/>
    <tableColumn id="16" xr3:uid="{B6EF5979-393F-48C8-8058-94F30A14C1DB}" name="daily_total" totalsRowFunction="sum" dataDxfId="141" totalsRowDxfId="140">
      <calculatedColumnFormula>SUM(Table1[[#This Row],[tank_a1]:[tank_b7]])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8FEE87-E332-46FA-B4AE-A5A40EB855B6}" name="Table14" displayName="Table14" ref="A1:P32" totalsRowCount="1" headerRowDxfId="139" dataDxfId="138">
  <autoFilter ref="A1:P31" xr:uid="{E2192D0B-9FFD-4499-A671-D42AC2F872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4E7B9E0C-9827-4895-9C47-0049F4CDBF5A}" name="date" totalsRowLabel="Total" dataDxfId="137" totalsRowDxfId="136"/>
    <tableColumn id="2" xr3:uid="{3F9B87F3-DBFD-453F-A9D6-8624E4549138}" name="tank_a1" totalsRowFunction="sum" dataDxfId="135" totalsRowDxfId="134"/>
    <tableColumn id="3" xr3:uid="{5CDD0037-D2F1-4C4E-ACD9-35DFD754F71F}" name="tank_a2" totalsRowFunction="sum" dataDxfId="133" totalsRowDxfId="132"/>
    <tableColumn id="4" xr3:uid="{5EE3DF53-30EE-46AB-8D09-3E95E6AE6865}" name="tank_a3" totalsRowFunction="sum" dataDxfId="131" totalsRowDxfId="130"/>
    <tableColumn id="5" xr3:uid="{4F1E909C-224A-42C5-9E04-6DD01E242C16}" name="tank_a4" totalsRowFunction="sum" dataDxfId="129" totalsRowDxfId="128"/>
    <tableColumn id="6" xr3:uid="{D4583149-9C9B-4684-AE57-B75679757198}" name="tank_a5" totalsRowFunction="sum" dataDxfId="127" totalsRowDxfId="126"/>
    <tableColumn id="7" xr3:uid="{26506787-B8CA-4425-B52D-8A7E549F34A2}" name="tank_a6" totalsRowFunction="sum" dataDxfId="125" totalsRowDxfId="124"/>
    <tableColumn id="8" xr3:uid="{A4175E10-A00F-4336-8E46-086E78EEABEA}" name="tank_a7" totalsRowFunction="sum" dataDxfId="123" totalsRowDxfId="122"/>
    <tableColumn id="9" xr3:uid="{4BEA3E02-ED52-4344-A657-C8F4F149218C}" name="tank_b1" totalsRowFunction="sum" dataDxfId="121" totalsRowDxfId="120"/>
    <tableColumn id="10" xr3:uid="{B8715476-AD2F-48AE-8145-9B4E165C8397}" name="tank_b2" totalsRowFunction="sum" dataDxfId="119" totalsRowDxfId="118"/>
    <tableColumn id="11" xr3:uid="{5CB8DBF5-BA4B-450B-B3B0-CFAA811A35C4}" name="tank_b3" totalsRowFunction="sum" dataDxfId="117" totalsRowDxfId="116"/>
    <tableColumn id="12" xr3:uid="{D77A4B57-F9BD-4757-B582-B79BC14C609B}" name="tank_b4" totalsRowFunction="sum" dataDxfId="115" totalsRowDxfId="114"/>
    <tableColumn id="13" xr3:uid="{3760401C-2A6D-4C3E-895B-92699CBBBF45}" name="tank_b5" totalsRowFunction="sum" dataDxfId="113" totalsRowDxfId="112"/>
    <tableColumn id="14" xr3:uid="{E1546074-ABD4-40FB-BCE0-A19261DC0A6C}" name="tank_b6" totalsRowFunction="sum" dataDxfId="111" totalsRowDxfId="110"/>
    <tableColumn id="15" xr3:uid="{5273C37D-3919-4BEF-9E3B-4E7CCB627FE4}" name="tank_b7" totalsRowFunction="sum" dataDxfId="109" totalsRowDxfId="108"/>
    <tableColumn id="16" xr3:uid="{4C24C75D-2DAC-4439-A104-A2B6FAED428F}" name="daily_total" totalsRowFunction="sum" dataDxfId="107" totalsRowDxfId="106">
      <calculatedColumnFormula>SUM(Table14[[#This Row],[tank_a1]:[tank_b7]])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50BA3D-58FA-4959-97B3-992FEEE88A5F}" name="Table146" displayName="Table146" ref="A1:P33" totalsRowCount="1" headerRowDxfId="105" dataDxfId="104">
  <autoFilter ref="A1:P32" xr:uid="{E2192D0B-9FFD-4499-A671-D42AC2F872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464966F-2002-4A2C-B8F1-F0B31248DB6A}" name="date" totalsRowLabel="Total" dataDxfId="103" totalsRowDxfId="102"/>
    <tableColumn id="2" xr3:uid="{3F40240D-2ACC-46CA-8DDB-BF202EC9134A}" name="tank_a1" totalsRowFunction="sum" dataDxfId="101" totalsRowDxfId="100"/>
    <tableColumn id="3" xr3:uid="{10BF25EF-32BD-41CB-A114-C748ED7808A8}" name="tank_a2" totalsRowFunction="sum" dataDxfId="99" totalsRowDxfId="98"/>
    <tableColumn id="4" xr3:uid="{76C4BD19-AF73-43F3-AC40-0B36D389F16D}" name="tank_a3" totalsRowFunction="sum" dataDxfId="97" totalsRowDxfId="96"/>
    <tableColumn id="5" xr3:uid="{F62E92DD-E47F-4B69-B7F7-8218B9CD6DF0}" name="tank_a4" totalsRowFunction="sum" dataDxfId="95" totalsRowDxfId="94"/>
    <tableColumn id="6" xr3:uid="{5C18DACA-9FC8-42E6-A13F-A04CDEA89C15}" name="tank_a5" totalsRowFunction="sum" dataDxfId="93" totalsRowDxfId="92"/>
    <tableColumn id="7" xr3:uid="{774DEC1C-D7ED-4B6F-99B9-527340706CD0}" name="tank_a6" totalsRowFunction="sum" dataDxfId="91" totalsRowDxfId="90"/>
    <tableColumn id="8" xr3:uid="{93DBEA81-76B7-4AEE-B15D-192DCF6CCE9B}" name="tank_a7" totalsRowFunction="sum" dataDxfId="89" totalsRowDxfId="88"/>
    <tableColumn id="9" xr3:uid="{FBC74844-5D37-4871-A5DE-743E641B0962}" name="tank_b1" totalsRowFunction="sum" dataDxfId="87" totalsRowDxfId="86"/>
    <tableColumn id="10" xr3:uid="{107615E2-56EC-4E2E-B6DD-436B176848DC}" name="tank_b2" totalsRowFunction="sum" dataDxfId="85" totalsRowDxfId="84"/>
    <tableColumn id="11" xr3:uid="{E8D2BB77-BCFF-4B05-9207-3696286320BA}" name="tank_b3" totalsRowFunction="sum" dataDxfId="83" totalsRowDxfId="82"/>
    <tableColumn id="12" xr3:uid="{385871AA-25DF-48AD-BF63-26F2CBD4765E}" name="tank_b4" totalsRowFunction="sum" dataDxfId="81" totalsRowDxfId="80"/>
    <tableColumn id="13" xr3:uid="{4CBBE30C-77DE-4D02-8BFE-EB3FE42021F0}" name="tank_b5" totalsRowFunction="sum" dataDxfId="79" totalsRowDxfId="78"/>
    <tableColumn id="14" xr3:uid="{042D9E0B-BF50-4DAA-AADD-2875D5758D0F}" name="tank_b6" totalsRowFunction="sum" dataDxfId="77" totalsRowDxfId="76"/>
    <tableColumn id="15" xr3:uid="{D968E1B6-0C47-4BA1-915F-E998B6CE9F9F}" name="tank_b7" totalsRowFunction="sum" dataDxfId="75" totalsRowDxfId="74"/>
    <tableColumn id="16" xr3:uid="{E1C467E9-A568-4211-9080-6BBD04B12D1F}" name="daily_total" totalsRowFunction="sum" dataDxfId="73" totalsRowDxfId="72">
      <calculatedColumnFormula>SUM(Table146[[#This Row],[tank_a1]:[tank_b7]])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1149DA-27E0-4A02-8505-2A3A7BECFFC6}" name="Table1469" displayName="Table1469" ref="A1:P33" totalsRowCount="1" headerRowDxfId="71" dataDxfId="70">
  <autoFilter ref="A1:P32" xr:uid="{E2192D0B-9FFD-4499-A671-D42AC2F872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DA3EEB7-50D8-4D28-A7CC-F486AD28CBE3}" name="date" totalsRowLabel="Total" dataDxfId="69" totalsRowDxfId="68"/>
    <tableColumn id="2" xr3:uid="{16AFB2C0-79C2-46A4-A1AD-A6578D80AC4B}" name="tank_a1" totalsRowFunction="sum" dataDxfId="67" totalsRowDxfId="66"/>
    <tableColumn id="3" xr3:uid="{D232F8AE-DDEB-4AB5-B65C-91B950B1FDDD}" name="tank_a2" totalsRowFunction="sum" dataDxfId="65" totalsRowDxfId="64"/>
    <tableColumn id="4" xr3:uid="{067DEBDB-61AD-4973-A747-B8F14BD8C90A}" name="tank_a3" totalsRowFunction="sum" dataDxfId="63" totalsRowDxfId="62"/>
    <tableColumn id="5" xr3:uid="{16B59068-689C-4B05-8EE8-F02CA89EC8B0}" name="tank_a4" totalsRowFunction="sum" dataDxfId="61" totalsRowDxfId="60"/>
    <tableColumn id="6" xr3:uid="{1A793E86-F320-432B-A4B8-E902B2E20934}" name="tank_a5" totalsRowFunction="sum" dataDxfId="59" totalsRowDxfId="58"/>
    <tableColumn id="7" xr3:uid="{0C98ABCC-ADDF-4F41-AAF0-9CFD6B38E710}" name="tank_a6" totalsRowFunction="sum" dataDxfId="57" totalsRowDxfId="56"/>
    <tableColumn id="8" xr3:uid="{87FBFA31-81FC-415A-9822-5C58A4F94DA5}" name="tank_a7" totalsRowFunction="sum" dataDxfId="55" totalsRowDxfId="54"/>
    <tableColumn id="9" xr3:uid="{86678BA0-48A6-4204-85E7-D01E74E96BAA}" name="tank_b1" totalsRowFunction="sum" dataDxfId="53" totalsRowDxfId="52"/>
    <tableColumn id="10" xr3:uid="{14D411EB-23B6-4683-BF83-BE81D362034B}" name="tank_b2" totalsRowFunction="sum" dataDxfId="51" totalsRowDxfId="50"/>
    <tableColumn id="11" xr3:uid="{CB7B6A36-E55D-43A0-A490-A0E591763785}" name="tank_b3" totalsRowFunction="sum" dataDxfId="49" totalsRowDxfId="48"/>
    <tableColumn id="12" xr3:uid="{FBCE4966-DBDD-4998-BE80-1D9276338788}" name="tank_b4" totalsRowFunction="sum" dataDxfId="47" totalsRowDxfId="46"/>
    <tableColumn id="13" xr3:uid="{ABE3B0CD-5825-4FAD-8A00-E725CDCB0746}" name="tank_b5" totalsRowFunction="sum" dataDxfId="45" totalsRowDxfId="44"/>
    <tableColumn id="14" xr3:uid="{FEC94AAD-C7EE-495F-A848-9A400DF64F35}" name="tank_b6" totalsRowFunction="sum" dataDxfId="43" totalsRowDxfId="42"/>
    <tableColumn id="15" xr3:uid="{73F72AEF-86FF-4694-A3C8-D86663FD70A3}" name="tank_b7" totalsRowFunction="sum" dataDxfId="41" totalsRowDxfId="40"/>
    <tableColumn id="16" xr3:uid="{6AF6B0E9-679C-4DCA-A078-DBB27D901F56}" name="daily_total" totalsRowFunction="sum" dataDxfId="39" totalsRowDxfId="38">
      <calculatedColumnFormula>SUM(Table1469[[#This Row],[tank_a1]:[tank_b7]])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0BD580-C441-42B3-B1BE-B5A8F275B53E}" name="Table146910" displayName="Table146910" ref="A1:P30" totalsRowCount="1" headerRowDxfId="37" dataDxfId="36">
  <autoFilter ref="A1:P29" xr:uid="{E2192D0B-9FFD-4499-A671-D42AC2F872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BEEE337-F42F-4D69-BAA0-C860D914694F}" name="date" totalsRowLabel="Total" dataDxfId="35" totalsRowDxfId="34"/>
    <tableColumn id="2" xr3:uid="{A7945281-7EC1-4C33-BC66-EDDCCD360F7E}" name="tank_a1" totalsRowFunction="sum" dataDxfId="33" totalsRowDxfId="32"/>
    <tableColumn id="3" xr3:uid="{CB593ACC-6F56-434E-9AC6-17D001E60D96}" name="tank_a2" totalsRowFunction="sum" dataDxfId="31" totalsRowDxfId="30"/>
    <tableColumn id="4" xr3:uid="{5B53481F-249F-46B8-93BE-DFD48E967909}" name="tank_a3" totalsRowFunction="sum" dataDxfId="29" totalsRowDxfId="28"/>
    <tableColumn id="5" xr3:uid="{1DC58988-062A-4808-9D17-10AACC046E30}" name="tank_a4" totalsRowFunction="sum" dataDxfId="27" totalsRowDxfId="26"/>
    <tableColumn id="6" xr3:uid="{4802E6F9-C072-44C2-B14D-F2E645F39558}" name="tank_a5" totalsRowFunction="sum" dataDxfId="25" totalsRowDxfId="24"/>
    <tableColumn id="7" xr3:uid="{2D899395-6039-402B-935C-2400B3E8D420}" name="tank_a6" totalsRowFunction="sum" dataDxfId="23" totalsRowDxfId="22"/>
    <tableColumn id="8" xr3:uid="{44F66D61-3EB8-471D-BC47-A6C54E9159CD}" name="tank_a7" totalsRowFunction="sum" dataDxfId="21" totalsRowDxfId="20"/>
    <tableColumn id="9" xr3:uid="{1375AC41-B7D5-4781-B0FA-7E4DF38F1F86}" name="tank_b1" totalsRowFunction="sum" dataDxfId="19" totalsRowDxfId="18"/>
    <tableColumn id="10" xr3:uid="{13D1F403-7BB6-4622-9BC9-6AAA4541E522}" name="tank_b2" totalsRowFunction="sum" dataDxfId="17" totalsRowDxfId="16"/>
    <tableColumn id="11" xr3:uid="{4169F443-D86E-4730-A63E-563434F0B11C}" name="tank_b3" totalsRowFunction="sum" dataDxfId="15" totalsRowDxfId="14"/>
    <tableColumn id="12" xr3:uid="{F029D5B5-D215-472B-BD47-7DE677709E0A}" name="tank_b4" totalsRowFunction="sum" dataDxfId="13" totalsRowDxfId="12"/>
    <tableColumn id="13" xr3:uid="{3FB9F004-446E-49C6-9D1B-89560F8860C4}" name="tank_b5" totalsRowFunction="sum" dataDxfId="11" totalsRowDxfId="10"/>
    <tableColumn id="14" xr3:uid="{EF9BA844-3609-42ED-BD46-89E70ED8DCE8}" name="tank_b6" totalsRowFunction="sum" dataDxfId="9" totalsRowDxfId="8"/>
    <tableColumn id="15" xr3:uid="{6671975A-8962-431C-B3B0-6E3A1393190B}" name="tank_b7" totalsRowFunction="sum" dataDxfId="7" totalsRowDxfId="6"/>
    <tableColumn id="16" xr3:uid="{59C72F68-1A8C-48F8-93D9-A7215EB9827C}" name="daily_total" totalsRowFunction="sum" dataDxfId="5" totalsRowDxfId="4">
      <calculatedColumnFormula>SUM(Table146910[[#This Row],[tank_a1]:[tank_b7]])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BE7B-E7D1-4E21-899D-A7285D1D725E}">
  <dimension ref="A1:D6"/>
  <sheetViews>
    <sheetView tabSelected="1" zoomScale="90" zoomScaleNormal="90" workbookViewId="0">
      <selection activeCell="D2" sqref="D2"/>
    </sheetView>
  </sheetViews>
  <sheetFormatPr defaultRowHeight="15" x14ac:dyDescent="0.25"/>
  <cols>
    <col min="1" max="2" width="18.5703125" customWidth="1"/>
    <col min="3" max="3" width="18" customWidth="1"/>
    <col min="4" max="4" width="27.5703125" customWidth="1"/>
  </cols>
  <sheetData>
    <row r="1" spans="1:4" x14ac:dyDescent="0.25">
      <c r="A1" s="10" t="s">
        <v>23</v>
      </c>
      <c r="B1" s="10" t="s">
        <v>22</v>
      </c>
      <c r="C1" s="10" t="s">
        <v>20</v>
      </c>
      <c r="D1" s="11" t="s">
        <v>40</v>
      </c>
    </row>
    <row r="2" spans="1:4" x14ac:dyDescent="0.25">
      <c r="A2" s="7">
        <v>45931</v>
      </c>
      <c r="B2" s="14">
        <v>2</v>
      </c>
      <c r="C2" s="8" t="s">
        <v>4</v>
      </c>
      <c r="D2" s="9">
        <f>Table1[[#Totals],[daily_total]]</f>
        <v>2982</v>
      </c>
    </row>
    <row r="3" spans="1:4" x14ac:dyDescent="0.25">
      <c r="A3" s="7">
        <v>45962</v>
      </c>
      <c r="B3" s="14">
        <v>2</v>
      </c>
      <c r="C3" s="8" t="s">
        <v>4</v>
      </c>
      <c r="D3" s="9">
        <f>Table14[[#Totals],[daily_total]]</f>
        <v>2868.3999999999996</v>
      </c>
    </row>
    <row r="4" spans="1:4" x14ac:dyDescent="0.25">
      <c r="A4" s="7">
        <v>45992</v>
      </c>
      <c r="B4" s="14">
        <v>2</v>
      </c>
      <c r="C4" s="8" t="s">
        <v>4</v>
      </c>
      <c r="D4" s="9">
        <f>Table146[[#Totals],[daily_total]]</f>
        <v>2276.5100000000002</v>
      </c>
    </row>
    <row r="5" spans="1:4" x14ac:dyDescent="0.25">
      <c r="A5" s="7">
        <v>46023</v>
      </c>
      <c r="B5" s="14">
        <v>2</v>
      </c>
      <c r="C5" s="8" t="s">
        <v>4</v>
      </c>
      <c r="D5" s="9">
        <f>Table1469[[#Totals],[daily_total]]</f>
        <v>0</v>
      </c>
    </row>
    <row r="6" spans="1:4" x14ac:dyDescent="0.25">
      <c r="A6" s="2" t="s">
        <v>2</v>
      </c>
      <c r="B6" s="2"/>
      <c r="C6" s="2"/>
      <c r="D6" s="12">
        <f>SUBTOTAL(109,Table7[feed(kg)])</f>
        <v>8126.91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E09A-DB37-4775-9562-8A60A43A736E}">
  <dimension ref="A1:D16"/>
  <sheetViews>
    <sheetView zoomScale="90" zoomScaleNormal="90" workbookViewId="0">
      <selection activeCell="B19" sqref="B19"/>
    </sheetView>
  </sheetViews>
  <sheetFormatPr defaultRowHeight="15" x14ac:dyDescent="0.25"/>
  <cols>
    <col min="1" max="2" width="18.5703125" customWidth="1"/>
    <col min="3" max="3" width="18" customWidth="1"/>
    <col min="4" max="4" width="27.5703125" customWidth="1"/>
  </cols>
  <sheetData>
    <row r="1" spans="1:4" x14ac:dyDescent="0.25">
      <c r="A1" s="10" t="s">
        <v>21</v>
      </c>
      <c r="B1" s="10" t="s">
        <v>22</v>
      </c>
      <c r="C1" s="10" t="s">
        <v>20</v>
      </c>
      <c r="D1" s="11" t="s">
        <v>19</v>
      </c>
    </row>
    <row r="2" spans="1:4" x14ac:dyDescent="0.25">
      <c r="A2" s="14" t="s">
        <v>5</v>
      </c>
      <c r="B2" s="14">
        <v>2</v>
      </c>
      <c r="C2" s="14" t="s">
        <v>4</v>
      </c>
      <c r="D2" s="9">
        <f>Table1[[#Totals],[tank_a1]]+Table14[[#Totals],[tank_a1]]+Table146[[#Totals],[tank_a1]]+Table1469[[#Totals],[tank_a1]]+Table146910[[#Totals],[tank_a1]]</f>
        <v>717.45</v>
      </c>
    </row>
    <row r="3" spans="1:4" x14ac:dyDescent="0.25">
      <c r="A3" s="14" t="s">
        <v>6</v>
      </c>
      <c r="B3" s="14">
        <v>2</v>
      </c>
      <c r="C3" s="14" t="s">
        <v>4</v>
      </c>
      <c r="D3" s="9">
        <f>Table1[[#Totals],[tank_a2]]+Table14[[#Totals],[tank_a2]]+Table146[[#Totals],[tank_a2]]+Table1469[[#Totals],[tank_a2]]+Table146910[[#Totals],[tank_a2]]</f>
        <v>663.55</v>
      </c>
    </row>
    <row r="4" spans="1:4" x14ac:dyDescent="0.25">
      <c r="A4" s="14" t="s">
        <v>7</v>
      </c>
      <c r="B4" s="14">
        <v>2</v>
      </c>
      <c r="C4" s="14" t="s">
        <v>4</v>
      </c>
      <c r="D4" s="9">
        <f>Table1[[#Totals],[tank_a3]]+Table14[[#Totals],[tank_a3]]+Table146[[#Totals],[tank_a3]]+Table1469[[#Totals],[tank_a3]]+Table146910[[#Totals],[tank_a3]]</f>
        <v>543.9</v>
      </c>
    </row>
    <row r="5" spans="1:4" x14ac:dyDescent="0.25">
      <c r="A5" s="14" t="s">
        <v>8</v>
      </c>
      <c r="B5" s="14">
        <v>2</v>
      </c>
      <c r="C5" s="14" t="s">
        <v>4</v>
      </c>
      <c r="D5" s="9">
        <f>Table1[[#Totals],[tank_a4]]+Table14[[#Totals],[tank_a4]]+Table146[[#Totals],[tank_a4]]+Table1469[[#Totals],[tank_a4]]+Table146910[[#Totals],[tank_a4]]</f>
        <v>607.95000000000005</v>
      </c>
    </row>
    <row r="6" spans="1:4" x14ac:dyDescent="0.25">
      <c r="A6" s="14" t="s">
        <v>9</v>
      </c>
      <c r="B6" s="14">
        <v>2</v>
      </c>
      <c r="C6" s="14" t="s">
        <v>4</v>
      </c>
      <c r="D6" s="9">
        <f>Table1[[#Totals],[tank_a5]]+Table14[[#Totals],[tank_a5]]+Table146[[#Totals],[tank_a5]]+Table1469[[#Totals],[tank_a5]]+Table146910[[#Totals],[tank_a5]]</f>
        <v>595.04999999999995</v>
      </c>
    </row>
    <row r="7" spans="1:4" x14ac:dyDescent="0.25">
      <c r="A7" s="14" t="s">
        <v>10</v>
      </c>
      <c r="B7" s="14">
        <v>2</v>
      </c>
      <c r="C7" s="14" t="s">
        <v>4</v>
      </c>
      <c r="D7" s="9">
        <f>Table1[[#Totals],[tank_a6]]+Table14[[#Totals],[tank_a6]]+Table146[[#Totals],[tank_a6]]+Table1469[[#Totals],[tank_a6]]+Table146910[[#Totals],[tank_a6]]</f>
        <v>446.5</v>
      </c>
    </row>
    <row r="8" spans="1:4" x14ac:dyDescent="0.25">
      <c r="A8" s="14" t="s">
        <v>11</v>
      </c>
      <c r="B8" s="14">
        <v>2</v>
      </c>
      <c r="C8" s="14" t="s">
        <v>4</v>
      </c>
      <c r="D8" s="9">
        <f>Table1[[#Totals],[tank_a7]]+Table14[[#Totals],[tank_a7]]+Table146[[#Totals],[tank_a7]]+Table146910[[#Totals],[tank_a7]]</f>
        <v>649.45000000000005</v>
      </c>
    </row>
    <row r="9" spans="1:4" x14ac:dyDescent="0.25">
      <c r="A9" s="14" t="s">
        <v>12</v>
      </c>
      <c r="B9" s="14">
        <v>2</v>
      </c>
      <c r="C9" s="14" t="s">
        <v>4</v>
      </c>
      <c r="D9" s="9">
        <f>Table1[[#Totals],[tank_b1]]+Table14[[#Totals],[tank_b1]]+Table146[[#Totals],[tank_b1]]+Table1469[[#Totals],[tank_b1]]+Table146910[[#Totals],[tank_b1]]</f>
        <v>612.04999999999995</v>
      </c>
    </row>
    <row r="10" spans="1:4" x14ac:dyDescent="0.25">
      <c r="A10" s="14" t="s">
        <v>13</v>
      </c>
      <c r="B10" s="14">
        <v>2</v>
      </c>
      <c r="C10" s="14" t="s">
        <v>4</v>
      </c>
      <c r="D10" s="9">
        <f>Table1[[#Totals],[tank_b2]]+Table14[[#Totals],[tank_b2]]+Table146[[#Totals],[tank_b2]]+Table1469[[#Totals],[tank_b2]]+Table146910[[#Totals],[tank_b2]]</f>
        <v>507.4</v>
      </c>
    </row>
    <row r="11" spans="1:4" x14ac:dyDescent="0.25">
      <c r="A11" s="14" t="s">
        <v>14</v>
      </c>
      <c r="B11" s="14">
        <v>2</v>
      </c>
      <c r="C11" s="14" t="s">
        <v>4</v>
      </c>
      <c r="D11" s="9">
        <f>Table1[[#Totals],[tank_b3]]+Table14[[#Totals],[tank_b3]]+Table146[[#Totals],[tank_b3]]+Table1469[[#Totals],[tank_b3]]+Table146910[[#Totals],[tank_b3]]</f>
        <v>617.70000000000005</v>
      </c>
    </row>
    <row r="12" spans="1:4" x14ac:dyDescent="0.25">
      <c r="A12" s="14" t="s">
        <v>15</v>
      </c>
      <c r="B12" s="14">
        <v>2</v>
      </c>
      <c r="C12" s="14" t="s">
        <v>4</v>
      </c>
      <c r="D12" s="9">
        <f>Table1[[#Totals],[tank_b4]]+Table14[[#Totals],[tank_b4]]+Table146[[#Totals],[tank_b4]]+Table1469[[#Totals],[tank_b4]]+Table146910[[#Totals],[tank_b4]]</f>
        <v>563.76</v>
      </c>
    </row>
    <row r="13" spans="1:4" x14ac:dyDescent="0.25">
      <c r="A13" s="14" t="s">
        <v>16</v>
      </c>
      <c r="B13" s="14">
        <v>2</v>
      </c>
      <c r="C13" s="14" t="s">
        <v>4</v>
      </c>
      <c r="D13" s="9">
        <f>Table1[[#Totals],[tank_b5]]+Table14[[#Totals],[tank_b5]]+Table146[[#Totals],[tank_b5]]+Table1469[[#Totals],[tank_b5]]+Table146910[[#Totals],[tank_b5]]+ Table146910[[#Totals],[tank_b5]]</f>
        <v>566.29999999999995</v>
      </c>
    </row>
    <row r="14" spans="1:4" x14ac:dyDescent="0.25">
      <c r="A14" s="14" t="s">
        <v>17</v>
      </c>
      <c r="B14" s="14">
        <v>2</v>
      </c>
      <c r="C14" s="14" t="s">
        <v>4</v>
      </c>
      <c r="D14" s="9">
        <f>Table1[[#Totals],[tank_b6]]+Table14[[#Totals],[tank_b6]]+Table146[[#Totals],[tank_b6]]+Table1469[[#Totals],[tank_b6]]+Table146910[[#Totals],[tank_b6]]</f>
        <v>527.35</v>
      </c>
    </row>
    <row r="15" spans="1:4" x14ac:dyDescent="0.25">
      <c r="A15" s="14" t="s">
        <v>18</v>
      </c>
      <c r="B15" s="14">
        <v>2</v>
      </c>
      <c r="C15" s="14" t="s">
        <v>4</v>
      </c>
      <c r="D15" s="9">
        <f>Table1[[#Totals],[tank_b7]]+Table14[[#Totals],[tank_b7]]+Table146[[#Totals],[tank_b7]]+Table1469[[#Totals],[tank_b7]]+Table146910[[#Totals],[tank_b7]]</f>
        <v>508.5</v>
      </c>
    </row>
    <row r="16" spans="1:4" x14ac:dyDescent="0.25">
      <c r="A16" s="2" t="s">
        <v>2</v>
      </c>
      <c r="B16" s="2"/>
      <c r="C16" s="2"/>
      <c r="D16" s="12">
        <f>SUBTOTAL(109,Table73[feed(KG)])</f>
        <v>8126.9100000000008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7759-83E7-4412-980F-8D97D039DD2B}">
  <sheetPr>
    <pageSetUpPr fitToPage="1"/>
  </sheetPr>
  <dimension ref="A1:P57"/>
  <sheetViews>
    <sheetView zoomScale="90" zoomScaleNormal="90" workbookViewId="0">
      <selection activeCell="G18" sqref="G18"/>
    </sheetView>
  </sheetViews>
  <sheetFormatPr defaultRowHeight="15" x14ac:dyDescent="0.25"/>
  <cols>
    <col min="1" max="1" width="12.85546875" customWidth="1"/>
    <col min="3" max="3" width="9" bestFit="1" customWidth="1"/>
    <col min="16" max="16" width="13" customWidth="1"/>
  </cols>
  <sheetData>
    <row r="1" spans="1:16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</row>
    <row r="2" spans="1:16" x14ac:dyDescent="0.25">
      <c r="A2" s="15">
        <v>45931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f>SUM(Table1[[#This Row],[tank_a1]:[tank_b7]])</f>
        <v>0</v>
      </c>
    </row>
    <row r="3" spans="1:16" x14ac:dyDescent="0.25">
      <c r="A3" s="15">
        <v>45932</v>
      </c>
      <c r="B3" s="2">
        <v>5</v>
      </c>
      <c r="C3" s="2">
        <v>5</v>
      </c>
      <c r="D3" s="2">
        <v>5</v>
      </c>
      <c r="E3" s="2">
        <v>5</v>
      </c>
      <c r="F3" s="2">
        <v>5</v>
      </c>
      <c r="G3" s="2">
        <v>5</v>
      </c>
      <c r="H3" s="2">
        <v>5</v>
      </c>
      <c r="I3" s="2">
        <v>5</v>
      </c>
      <c r="J3" s="2">
        <v>3</v>
      </c>
      <c r="K3" s="2">
        <v>5</v>
      </c>
      <c r="L3" s="2">
        <v>2</v>
      </c>
      <c r="M3" s="2">
        <v>5</v>
      </c>
      <c r="N3" s="2">
        <v>5</v>
      </c>
      <c r="O3" s="2">
        <v>5</v>
      </c>
      <c r="P3" s="2">
        <f>SUM(Table1[[#This Row],[tank_a1]:[tank_b7]])</f>
        <v>65</v>
      </c>
    </row>
    <row r="4" spans="1:16" x14ac:dyDescent="0.25">
      <c r="A4" s="15">
        <v>45933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f>SUM(Table1[[#This Row],[tank_a1]:[tank_b7]])</f>
        <v>42</v>
      </c>
    </row>
    <row r="5" spans="1:16" x14ac:dyDescent="0.25">
      <c r="A5" s="15">
        <v>45934</v>
      </c>
      <c r="B5" s="2">
        <v>6</v>
      </c>
      <c r="C5" s="2">
        <v>6</v>
      </c>
      <c r="D5" s="2">
        <v>6</v>
      </c>
      <c r="E5" s="2">
        <v>6</v>
      </c>
      <c r="F5" s="2">
        <v>6</v>
      </c>
      <c r="G5" s="2">
        <v>6</v>
      </c>
      <c r="H5" s="2">
        <v>6</v>
      </c>
      <c r="I5" s="2">
        <v>6</v>
      </c>
      <c r="J5" s="2">
        <v>6</v>
      </c>
      <c r="K5" s="2">
        <v>6</v>
      </c>
      <c r="L5" s="2">
        <v>6</v>
      </c>
      <c r="M5" s="2">
        <v>6</v>
      </c>
      <c r="N5" s="2">
        <v>6</v>
      </c>
      <c r="O5" s="2">
        <v>6</v>
      </c>
      <c r="P5" s="2">
        <f>SUM(Table1[[#This Row],[tank_a1]:[tank_b7]])</f>
        <v>84</v>
      </c>
    </row>
    <row r="6" spans="1:16" x14ac:dyDescent="0.25">
      <c r="A6" s="15">
        <v>45935</v>
      </c>
      <c r="B6" s="2">
        <v>6</v>
      </c>
      <c r="C6" s="2">
        <v>6</v>
      </c>
      <c r="D6" s="2">
        <v>6</v>
      </c>
      <c r="E6" s="2">
        <v>6</v>
      </c>
      <c r="F6" s="2">
        <v>6</v>
      </c>
      <c r="G6" s="2">
        <v>6</v>
      </c>
      <c r="H6" s="2">
        <v>6</v>
      </c>
      <c r="I6" s="2">
        <v>6</v>
      </c>
      <c r="J6" s="2">
        <v>6</v>
      </c>
      <c r="K6" s="2">
        <v>6</v>
      </c>
      <c r="L6" s="2">
        <v>6</v>
      </c>
      <c r="M6" s="2">
        <v>6</v>
      </c>
      <c r="N6" s="2">
        <v>6</v>
      </c>
      <c r="O6" s="2">
        <v>6</v>
      </c>
      <c r="P6" s="2">
        <f>SUM(Table1[[#This Row],[tank_a1]:[tank_b7]])</f>
        <v>84</v>
      </c>
    </row>
    <row r="7" spans="1:16" x14ac:dyDescent="0.25">
      <c r="A7" s="15">
        <v>45936</v>
      </c>
      <c r="B7" s="2">
        <v>6</v>
      </c>
      <c r="C7" s="2">
        <v>6</v>
      </c>
      <c r="D7" s="2">
        <v>6</v>
      </c>
      <c r="E7" s="2">
        <v>6</v>
      </c>
      <c r="F7" s="2">
        <v>6</v>
      </c>
      <c r="G7" s="2">
        <v>6</v>
      </c>
      <c r="H7" s="2">
        <v>6</v>
      </c>
      <c r="I7" s="2">
        <v>6</v>
      </c>
      <c r="J7" s="2">
        <v>6</v>
      </c>
      <c r="K7" s="2">
        <v>6</v>
      </c>
      <c r="L7" s="2">
        <v>6</v>
      </c>
      <c r="M7" s="2">
        <v>6</v>
      </c>
      <c r="N7" s="2">
        <v>6</v>
      </c>
      <c r="O7" s="2">
        <v>6</v>
      </c>
      <c r="P7" s="2">
        <f>SUM(Table1[[#This Row],[tank_a1]:[tank_b7]])</f>
        <v>84</v>
      </c>
    </row>
    <row r="8" spans="1:16" x14ac:dyDescent="0.25">
      <c r="A8" s="15">
        <v>45937</v>
      </c>
      <c r="B8" s="2">
        <v>6</v>
      </c>
      <c r="C8" s="2">
        <v>6</v>
      </c>
      <c r="D8" s="2">
        <v>6</v>
      </c>
      <c r="E8" s="2">
        <v>6</v>
      </c>
      <c r="F8" s="2">
        <v>6</v>
      </c>
      <c r="G8" s="2">
        <v>6</v>
      </c>
      <c r="H8" s="2">
        <v>6</v>
      </c>
      <c r="I8" s="2">
        <v>6</v>
      </c>
      <c r="J8" s="2">
        <v>6</v>
      </c>
      <c r="K8" s="2">
        <v>6</v>
      </c>
      <c r="L8" s="2">
        <v>6</v>
      </c>
      <c r="M8" s="2">
        <v>6</v>
      </c>
      <c r="N8" s="2">
        <v>6</v>
      </c>
      <c r="O8" s="2">
        <v>6</v>
      </c>
      <c r="P8" s="2">
        <f>SUM(Table1[[#This Row],[tank_a1]:[tank_b7]])</f>
        <v>84</v>
      </c>
    </row>
    <row r="9" spans="1:16" x14ac:dyDescent="0.25">
      <c r="A9" s="15">
        <v>45938</v>
      </c>
      <c r="B9" s="2">
        <v>11</v>
      </c>
      <c r="C9" s="2">
        <v>11</v>
      </c>
      <c r="D9" s="2">
        <v>11</v>
      </c>
      <c r="E9" s="2">
        <v>11</v>
      </c>
      <c r="F9" s="2">
        <v>11</v>
      </c>
      <c r="G9" s="2">
        <v>11</v>
      </c>
      <c r="H9" s="2">
        <v>11</v>
      </c>
      <c r="I9" s="2">
        <v>11</v>
      </c>
      <c r="J9" s="2">
        <v>8</v>
      </c>
      <c r="K9" s="2">
        <v>10</v>
      </c>
      <c r="L9" s="2">
        <v>9</v>
      </c>
      <c r="M9" s="2">
        <v>10</v>
      </c>
      <c r="N9" s="2">
        <v>9</v>
      </c>
      <c r="O9" s="2">
        <v>9</v>
      </c>
      <c r="P9" s="2">
        <f>SUM(Table1[[#This Row],[tank_a1]:[tank_b7]])</f>
        <v>143</v>
      </c>
    </row>
    <row r="10" spans="1:16" x14ac:dyDescent="0.25">
      <c r="A10" s="15">
        <v>45939</v>
      </c>
      <c r="B10" s="2">
        <v>15</v>
      </c>
      <c r="C10" s="2">
        <v>13.5</v>
      </c>
      <c r="D10" s="2">
        <v>10.5</v>
      </c>
      <c r="E10" s="2">
        <v>12</v>
      </c>
      <c r="F10" s="2">
        <v>12</v>
      </c>
      <c r="G10" s="2">
        <v>7</v>
      </c>
      <c r="H10" s="2">
        <v>10.5</v>
      </c>
      <c r="I10" s="2">
        <v>10</v>
      </c>
      <c r="J10" s="2">
        <v>9</v>
      </c>
      <c r="K10" s="2">
        <v>13</v>
      </c>
      <c r="L10" s="2">
        <v>10</v>
      </c>
      <c r="M10" s="2">
        <v>13</v>
      </c>
      <c r="N10" s="2">
        <v>9</v>
      </c>
      <c r="O10" s="2">
        <v>12</v>
      </c>
      <c r="P10" s="2">
        <f>SUM(Table1[[#This Row],[tank_a1]:[tank_b7]])</f>
        <v>156.5</v>
      </c>
    </row>
    <row r="11" spans="1:16" x14ac:dyDescent="0.25">
      <c r="A11" s="15">
        <v>45940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f>SUM(Table1[[#This Row],[tank_a1]:[tank_b7]])</f>
        <v>0</v>
      </c>
    </row>
    <row r="12" spans="1:16" x14ac:dyDescent="0.25">
      <c r="A12" s="15">
        <v>45941</v>
      </c>
      <c r="B12" s="2">
        <v>20</v>
      </c>
      <c r="C12" s="2">
        <v>18</v>
      </c>
      <c r="D12" s="2">
        <v>14</v>
      </c>
      <c r="E12" s="2">
        <v>16</v>
      </c>
      <c r="F12" s="2">
        <v>16</v>
      </c>
      <c r="G12" s="2">
        <v>9</v>
      </c>
      <c r="H12" s="2">
        <v>14</v>
      </c>
      <c r="I12" s="2">
        <v>13</v>
      </c>
      <c r="J12" s="2">
        <v>11</v>
      </c>
      <c r="K12" s="2">
        <v>13</v>
      </c>
      <c r="L12" s="2">
        <v>13</v>
      </c>
      <c r="M12" s="2">
        <v>17</v>
      </c>
      <c r="N12" s="2">
        <v>12</v>
      </c>
      <c r="O12" s="2">
        <v>15</v>
      </c>
      <c r="P12" s="2">
        <f>SUM(Table1[[#This Row],[tank_a1]:[tank_b7]])</f>
        <v>201</v>
      </c>
    </row>
    <row r="13" spans="1:16" x14ac:dyDescent="0.25">
      <c r="A13" s="15">
        <v>45942</v>
      </c>
      <c r="B13" s="2">
        <v>15</v>
      </c>
      <c r="C13" s="2">
        <v>13.5</v>
      </c>
      <c r="D13" s="2">
        <v>10.5</v>
      </c>
      <c r="E13" s="2">
        <v>10</v>
      </c>
      <c r="F13" s="2">
        <v>10</v>
      </c>
      <c r="G13" s="2">
        <v>7</v>
      </c>
      <c r="H13" s="2">
        <v>10.5</v>
      </c>
      <c r="I13" s="2">
        <v>10</v>
      </c>
      <c r="J13" s="2">
        <v>8</v>
      </c>
      <c r="K13" s="2">
        <v>13</v>
      </c>
      <c r="L13" s="2">
        <v>10</v>
      </c>
      <c r="M13" s="2">
        <v>13</v>
      </c>
      <c r="N13" s="2">
        <v>9</v>
      </c>
      <c r="O13" s="2">
        <v>11</v>
      </c>
      <c r="P13" s="2">
        <f>SUM(Table1[[#This Row],[tank_a1]:[tank_b7]])</f>
        <v>150.5</v>
      </c>
    </row>
    <row r="14" spans="1:16" x14ac:dyDescent="0.25">
      <c r="A14" s="15">
        <v>45943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f>SUM(Table1[[#This Row],[tank_a1]:[tank_b7]])</f>
        <v>0</v>
      </c>
    </row>
    <row r="15" spans="1:16" x14ac:dyDescent="0.25">
      <c r="A15" s="15">
        <v>45944</v>
      </c>
      <c r="B15" s="2">
        <v>10</v>
      </c>
      <c r="C15" s="2">
        <v>9</v>
      </c>
      <c r="D15" s="2">
        <v>7</v>
      </c>
      <c r="E15" s="2">
        <v>8</v>
      </c>
      <c r="F15" s="2">
        <v>8</v>
      </c>
      <c r="G15" s="2">
        <v>5</v>
      </c>
      <c r="H15" s="2">
        <v>7</v>
      </c>
      <c r="I15" s="2">
        <v>7</v>
      </c>
      <c r="J15" s="2">
        <v>6</v>
      </c>
      <c r="K15" s="2">
        <v>6</v>
      </c>
      <c r="L15" s="2">
        <v>7</v>
      </c>
      <c r="M15" s="2">
        <v>9</v>
      </c>
      <c r="N15" s="2">
        <v>6</v>
      </c>
      <c r="O15" s="2">
        <v>8</v>
      </c>
      <c r="P15" s="2">
        <f>SUM(Table1[[#This Row],[tank_a1]:[tank_b7]])</f>
        <v>103</v>
      </c>
    </row>
    <row r="16" spans="1:16" x14ac:dyDescent="0.25">
      <c r="A16" s="15">
        <v>45945</v>
      </c>
      <c r="B16" s="3">
        <v>12</v>
      </c>
      <c r="C16" s="3">
        <v>10</v>
      </c>
      <c r="D16" s="3">
        <v>9</v>
      </c>
      <c r="E16" s="3">
        <v>9.75</v>
      </c>
      <c r="F16" s="3">
        <v>9.75</v>
      </c>
      <c r="G16" s="3">
        <v>6</v>
      </c>
      <c r="H16" s="3">
        <v>9</v>
      </c>
      <c r="I16" s="3">
        <v>9</v>
      </c>
      <c r="J16" s="3">
        <v>7.5</v>
      </c>
      <c r="K16" s="3">
        <v>12</v>
      </c>
      <c r="L16" s="3">
        <v>9</v>
      </c>
      <c r="M16" s="3">
        <v>12</v>
      </c>
      <c r="N16" s="3">
        <v>7.5</v>
      </c>
      <c r="O16" s="4">
        <v>9</v>
      </c>
      <c r="P16" s="2">
        <f>SUM(Table1[[#This Row],[tank_a1]:[tank_b7]])</f>
        <v>131.5</v>
      </c>
    </row>
    <row r="17" spans="1:16" x14ac:dyDescent="0.25">
      <c r="A17" s="15">
        <v>45946</v>
      </c>
      <c r="B17" s="3">
        <v>20</v>
      </c>
      <c r="C17" s="3">
        <v>14</v>
      </c>
      <c r="D17" s="3">
        <v>9</v>
      </c>
      <c r="E17" s="3">
        <v>13</v>
      </c>
      <c r="F17" s="3">
        <v>13</v>
      </c>
      <c r="G17" s="3">
        <v>8</v>
      </c>
      <c r="H17" s="3">
        <v>12</v>
      </c>
      <c r="I17" s="3">
        <v>12</v>
      </c>
      <c r="J17" s="3">
        <v>10</v>
      </c>
      <c r="K17" s="3">
        <v>12</v>
      </c>
      <c r="L17" s="3">
        <v>12</v>
      </c>
      <c r="M17" s="3">
        <v>16</v>
      </c>
      <c r="N17" s="3">
        <v>10</v>
      </c>
      <c r="O17" s="4">
        <v>12</v>
      </c>
      <c r="P17" s="2">
        <f>SUM(Table1[[#This Row],[tank_a1]:[tank_b7]])</f>
        <v>173</v>
      </c>
    </row>
    <row r="18" spans="1:16" x14ac:dyDescent="0.25">
      <c r="A18" s="15">
        <v>45947</v>
      </c>
      <c r="B18" s="5">
        <v>0</v>
      </c>
      <c r="C18" s="3">
        <v>0</v>
      </c>
      <c r="D18" s="3">
        <v>0</v>
      </c>
      <c r="E18" s="3">
        <v>0</v>
      </c>
      <c r="F18" s="3">
        <v>0</v>
      </c>
      <c r="G18" s="5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6">
        <v>0</v>
      </c>
      <c r="P18" s="2">
        <f>SUM(Table1[[#This Row],[tank_a1]:[tank_b7]])</f>
        <v>0</v>
      </c>
    </row>
    <row r="19" spans="1:16" x14ac:dyDescent="0.25">
      <c r="A19" s="15">
        <v>45948</v>
      </c>
      <c r="B19" s="3">
        <v>18</v>
      </c>
      <c r="C19" s="3">
        <v>10.5</v>
      </c>
      <c r="D19" s="3">
        <v>9</v>
      </c>
      <c r="E19" s="3">
        <v>12.5</v>
      </c>
      <c r="F19" s="3">
        <v>0</v>
      </c>
      <c r="G19" s="3">
        <v>9</v>
      </c>
      <c r="H19" s="3">
        <v>12</v>
      </c>
      <c r="I19" s="3">
        <v>12</v>
      </c>
      <c r="J19" s="3">
        <v>7.5</v>
      </c>
      <c r="K19" s="3">
        <v>15</v>
      </c>
      <c r="L19" s="3">
        <v>9</v>
      </c>
      <c r="M19" s="3">
        <v>12</v>
      </c>
      <c r="N19" s="3">
        <v>0</v>
      </c>
      <c r="O19" s="4">
        <v>12</v>
      </c>
      <c r="P19" s="2">
        <f>SUM(Table1[[#This Row],[tank_a1]:[tank_b7]])</f>
        <v>138.5</v>
      </c>
    </row>
    <row r="20" spans="1:16" x14ac:dyDescent="0.25">
      <c r="A20" s="15">
        <v>45949</v>
      </c>
      <c r="B20" s="5">
        <v>0</v>
      </c>
      <c r="C20" s="3">
        <v>10.5</v>
      </c>
      <c r="D20" s="3">
        <v>9</v>
      </c>
      <c r="E20" s="3">
        <v>12.5</v>
      </c>
      <c r="F20" s="3">
        <v>10</v>
      </c>
      <c r="G20" s="5">
        <v>0</v>
      </c>
      <c r="H20" s="3">
        <v>12</v>
      </c>
      <c r="I20" s="3">
        <v>9</v>
      </c>
      <c r="J20" s="3">
        <v>7.5</v>
      </c>
      <c r="K20" s="3">
        <v>15</v>
      </c>
      <c r="L20" s="3">
        <v>12</v>
      </c>
      <c r="M20" s="3">
        <v>12</v>
      </c>
      <c r="N20" s="3">
        <v>12</v>
      </c>
      <c r="O20" s="6">
        <v>0</v>
      </c>
      <c r="P20" s="2">
        <f>SUM(Table1[[#This Row],[tank_a1]:[tank_b7]])</f>
        <v>121.5</v>
      </c>
    </row>
    <row r="21" spans="1:16" x14ac:dyDescent="0.25">
      <c r="A21" s="15">
        <v>45950</v>
      </c>
      <c r="B21" s="3">
        <v>15</v>
      </c>
      <c r="C21" s="3">
        <v>12</v>
      </c>
      <c r="D21" s="3">
        <v>9</v>
      </c>
      <c r="E21" s="3">
        <v>12.5</v>
      </c>
      <c r="F21" s="3">
        <v>0</v>
      </c>
      <c r="G21" s="3">
        <v>9</v>
      </c>
      <c r="H21" s="3">
        <v>12</v>
      </c>
      <c r="I21" s="3">
        <v>12</v>
      </c>
      <c r="J21" s="3">
        <v>7.5</v>
      </c>
      <c r="K21" s="3">
        <v>15</v>
      </c>
      <c r="L21" s="3">
        <v>12</v>
      </c>
      <c r="M21" s="3">
        <v>12</v>
      </c>
      <c r="N21" s="3">
        <v>0</v>
      </c>
      <c r="O21" s="4">
        <v>12</v>
      </c>
      <c r="P21" s="2">
        <f>SUM(Table1[[#This Row],[tank_a1]:[tank_b7]])</f>
        <v>140</v>
      </c>
    </row>
    <row r="22" spans="1:16" x14ac:dyDescent="0.25">
      <c r="A22" s="15">
        <v>45951</v>
      </c>
      <c r="B22" s="3">
        <v>18</v>
      </c>
      <c r="C22" s="3">
        <v>10</v>
      </c>
      <c r="D22" s="3">
        <v>8</v>
      </c>
      <c r="E22" s="3">
        <v>8.5</v>
      </c>
      <c r="F22" s="3">
        <v>10</v>
      </c>
      <c r="G22" s="3">
        <v>9</v>
      </c>
      <c r="H22" s="3">
        <v>8</v>
      </c>
      <c r="I22" s="3">
        <v>4.5</v>
      </c>
      <c r="J22" s="3">
        <v>7</v>
      </c>
      <c r="K22" s="3">
        <v>3.5</v>
      </c>
      <c r="L22" s="3">
        <v>4</v>
      </c>
      <c r="M22" s="3">
        <v>4.5</v>
      </c>
      <c r="N22" s="3">
        <v>7</v>
      </c>
      <c r="O22" s="4">
        <v>4</v>
      </c>
      <c r="P22" s="2">
        <f>SUM(Table1[[#This Row],[tank_a1]:[tank_b7]])</f>
        <v>106</v>
      </c>
    </row>
    <row r="23" spans="1:16" x14ac:dyDescent="0.25">
      <c r="A23" s="15">
        <v>45952</v>
      </c>
      <c r="B23" s="3">
        <v>15</v>
      </c>
      <c r="C23" s="3">
        <v>15</v>
      </c>
      <c r="D23" s="3">
        <v>9</v>
      </c>
      <c r="E23" s="3">
        <v>12.5</v>
      </c>
      <c r="F23" s="3">
        <v>14</v>
      </c>
      <c r="G23" s="3">
        <v>9</v>
      </c>
      <c r="H23" s="3">
        <v>12</v>
      </c>
      <c r="I23" s="3">
        <v>12</v>
      </c>
      <c r="J23" s="3">
        <v>7.5</v>
      </c>
      <c r="K23" s="3">
        <v>15</v>
      </c>
      <c r="L23" s="3">
        <v>12</v>
      </c>
      <c r="M23" s="3">
        <v>12</v>
      </c>
      <c r="N23" s="3">
        <v>12</v>
      </c>
      <c r="O23" s="4">
        <v>12</v>
      </c>
      <c r="P23" s="2">
        <f>SUM(Table1[[#This Row],[tank_a1]:[tank_b7]])</f>
        <v>169</v>
      </c>
    </row>
    <row r="24" spans="1:16" x14ac:dyDescent="0.25">
      <c r="A24" s="15">
        <v>45953</v>
      </c>
      <c r="B24" s="3">
        <v>0</v>
      </c>
      <c r="C24" s="3">
        <v>0</v>
      </c>
      <c r="D24" s="3">
        <v>9</v>
      </c>
      <c r="E24" s="3">
        <v>12.5</v>
      </c>
      <c r="F24" s="3">
        <v>14</v>
      </c>
      <c r="G24" s="3">
        <v>9</v>
      </c>
      <c r="H24" s="3">
        <v>12</v>
      </c>
      <c r="I24" s="3">
        <v>0</v>
      </c>
      <c r="J24" s="3">
        <v>7.5</v>
      </c>
      <c r="K24" s="3">
        <v>0</v>
      </c>
      <c r="L24" s="3">
        <v>9</v>
      </c>
      <c r="M24" s="3">
        <v>8</v>
      </c>
      <c r="N24" s="3">
        <v>8</v>
      </c>
      <c r="O24" s="4">
        <v>8</v>
      </c>
      <c r="P24" s="2">
        <f>SUM(Table1[[#This Row],[tank_a1]:[tank_b7]])</f>
        <v>97</v>
      </c>
    </row>
    <row r="25" spans="1:16" x14ac:dyDescent="0.25">
      <c r="A25" s="15">
        <v>45954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4">
        <v>0</v>
      </c>
      <c r="P25" s="2">
        <f>SUM(Table1[[#This Row],[tank_a1]:[tank_b7]])</f>
        <v>0</v>
      </c>
    </row>
    <row r="26" spans="1:16" x14ac:dyDescent="0.25">
      <c r="A26" s="15">
        <v>45955</v>
      </c>
      <c r="B26" s="3">
        <v>15</v>
      </c>
      <c r="C26" s="3">
        <v>8</v>
      </c>
      <c r="D26" s="3">
        <v>6</v>
      </c>
      <c r="E26" s="3">
        <v>7</v>
      </c>
      <c r="F26" s="3">
        <v>5</v>
      </c>
      <c r="G26" s="3">
        <v>9</v>
      </c>
      <c r="H26" s="3">
        <v>12</v>
      </c>
      <c r="I26" s="3">
        <v>9.5</v>
      </c>
      <c r="J26" s="3">
        <v>10.5</v>
      </c>
      <c r="K26" s="3">
        <v>12</v>
      </c>
      <c r="L26" s="3">
        <v>12</v>
      </c>
      <c r="M26" s="3">
        <v>12</v>
      </c>
      <c r="N26" s="3">
        <v>12</v>
      </c>
      <c r="O26" s="4">
        <v>12</v>
      </c>
      <c r="P26" s="2">
        <f>SUM(Table1[[#This Row],[tank_a1]:[tank_b7]])</f>
        <v>142</v>
      </c>
    </row>
    <row r="27" spans="1:16" x14ac:dyDescent="0.25">
      <c r="A27" s="15">
        <v>45956</v>
      </c>
      <c r="B27" s="3">
        <v>17</v>
      </c>
      <c r="C27" s="3">
        <v>14</v>
      </c>
      <c r="D27" s="3">
        <v>12</v>
      </c>
      <c r="E27" s="3">
        <v>12</v>
      </c>
      <c r="F27" s="3">
        <v>14</v>
      </c>
      <c r="G27" s="3">
        <v>10</v>
      </c>
      <c r="H27" s="3">
        <v>12</v>
      </c>
      <c r="I27" s="3">
        <v>14</v>
      </c>
      <c r="J27" s="3">
        <v>11</v>
      </c>
      <c r="K27" s="3">
        <v>15</v>
      </c>
      <c r="L27" s="3">
        <v>13</v>
      </c>
      <c r="M27" s="3">
        <v>13</v>
      </c>
      <c r="N27" s="3">
        <v>13</v>
      </c>
      <c r="O27" s="4">
        <v>12</v>
      </c>
      <c r="P27" s="2">
        <f>SUM(Table1[[#This Row],[tank_a1]:[tank_b7]])</f>
        <v>182</v>
      </c>
    </row>
    <row r="28" spans="1:16" x14ac:dyDescent="0.25">
      <c r="A28" s="15">
        <v>45957</v>
      </c>
      <c r="B28" s="3">
        <v>6</v>
      </c>
      <c r="C28" s="3">
        <v>10</v>
      </c>
      <c r="D28" s="3">
        <v>8</v>
      </c>
      <c r="E28" s="3">
        <v>10</v>
      </c>
      <c r="F28" s="3">
        <v>10</v>
      </c>
      <c r="G28" s="3">
        <v>8</v>
      </c>
      <c r="H28" s="3">
        <v>10</v>
      </c>
      <c r="I28" s="3">
        <v>10</v>
      </c>
      <c r="J28" s="3">
        <v>10.5</v>
      </c>
      <c r="K28" s="3">
        <v>8</v>
      </c>
      <c r="L28" s="3">
        <v>10</v>
      </c>
      <c r="M28" s="3">
        <v>9</v>
      </c>
      <c r="N28" s="3">
        <v>8.5</v>
      </c>
      <c r="O28" s="4">
        <v>8</v>
      </c>
      <c r="P28" s="2">
        <f>SUM(Table1[[#This Row],[tank_a1]:[tank_b7]])</f>
        <v>126</v>
      </c>
    </row>
    <row r="29" spans="1:16" x14ac:dyDescent="0.25">
      <c r="A29" s="15">
        <v>45958</v>
      </c>
      <c r="B29" s="3">
        <v>9</v>
      </c>
      <c r="C29" s="3">
        <v>10</v>
      </c>
      <c r="D29" s="3">
        <v>8</v>
      </c>
      <c r="E29" s="3">
        <v>9</v>
      </c>
      <c r="F29" s="3">
        <v>10</v>
      </c>
      <c r="G29" s="3">
        <v>7</v>
      </c>
      <c r="H29" s="3">
        <v>9</v>
      </c>
      <c r="I29" s="3">
        <v>10</v>
      </c>
      <c r="J29" s="3">
        <v>10.5</v>
      </c>
      <c r="K29" s="3">
        <v>12</v>
      </c>
      <c r="L29" s="3">
        <v>8</v>
      </c>
      <c r="M29" s="3">
        <v>9</v>
      </c>
      <c r="N29" s="3">
        <v>9</v>
      </c>
      <c r="O29" s="4">
        <v>8</v>
      </c>
      <c r="P29" s="2">
        <f>SUM(Table1[[#This Row],[tank_a1]:[tank_b7]])</f>
        <v>128.5</v>
      </c>
    </row>
    <row r="30" spans="1:16" x14ac:dyDescent="0.25">
      <c r="A30" s="15">
        <v>45959</v>
      </c>
      <c r="B30" s="3">
        <v>0</v>
      </c>
      <c r="C30" s="3">
        <v>7.5</v>
      </c>
      <c r="D30" s="3">
        <v>6</v>
      </c>
      <c r="E30" s="3">
        <v>7.5</v>
      </c>
      <c r="F30" s="3">
        <v>7.5</v>
      </c>
      <c r="G30" s="3">
        <v>9</v>
      </c>
      <c r="H30" s="3">
        <v>7.5</v>
      </c>
      <c r="I30" s="3">
        <v>5.5</v>
      </c>
      <c r="J30" s="3">
        <v>6</v>
      </c>
      <c r="K30" s="3">
        <v>4.25</v>
      </c>
      <c r="L30" s="3">
        <v>0</v>
      </c>
      <c r="M30" s="3">
        <v>6.65</v>
      </c>
      <c r="N30" s="3">
        <v>6.6</v>
      </c>
      <c r="O30" s="4">
        <v>6</v>
      </c>
      <c r="P30" s="2">
        <f>SUM(Table1[[#This Row],[tank_a1]:[tank_b7]])</f>
        <v>80</v>
      </c>
    </row>
    <row r="31" spans="1:16" x14ac:dyDescent="0.25">
      <c r="A31" s="15">
        <v>45960</v>
      </c>
      <c r="B31" s="3">
        <v>0</v>
      </c>
      <c r="C31" s="3">
        <v>4.5</v>
      </c>
      <c r="D31" s="3">
        <v>4</v>
      </c>
      <c r="E31" s="3">
        <v>4.5</v>
      </c>
      <c r="F31" s="3">
        <v>4.5</v>
      </c>
      <c r="G31" s="3">
        <v>4</v>
      </c>
      <c r="H31" s="3">
        <v>4.5</v>
      </c>
      <c r="I31" s="3">
        <v>4.5</v>
      </c>
      <c r="J31" s="3">
        <v>4</v>
      </c>
      <c r="K31" s="3">
        <v>3.5</v>
      </c>
      <c r="L31" s="3">
        <v>0</v>
      </c>
      <c r="M31" s="3">
        <v>4</v>
      </c>
      <c r="N31" s="3">
        <v>4</v>
      </c>
      <c r="O31" s="4">
        <v>4</v>
      </c>
      <c r="P31" s="2">
        <f>SUM(Table1[[#This Row],[tank_a1]:[tank_b7]])</f>
        <v>50</v>
      </c>
    </row>
    <row r="32" spans="1:16" x14ac:dyDescent="0.25">
      <c r="A32" s="15">
        <v>45961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4">
        <v>0</v>
      </c>
      <c r="P32" s="2">
        <f>SUM(Table1[[#This Row],[tank_a1]:[tank_b7]])</f>
        <v>0</v>
      </c>
    </row>
    <row r="33" spans="1:16" x14ac:dyDescent="0.25">
      <c r="A33" s="2" t="s">
        <v>2</v>
      </c>
      <c r="B33" s="2">
        <f>SUBTOTAL(109,Table1[tank_a1])</f>
        <v>248</v>
      </c>
      <c r="C33" s="2">
        <f>SUBTOTAL(109,Table1[tank_a2])</f>
        <v>233</v>
      </c>
      <c r="D33" s="2">
        <f>SUBTOTAL(109,Table1[tank_a3])</f>
        <v>200</v>
      </c>
      <c r="E33" s="2">
        <f>SUBTOTAL(109,Table1[tank_a4])</f>
        <v>232.75</v>
      </c>
      <c r="F33" s="2">
        <f>SUBTOTAL(109,Table1[tank_a5])</f>
        <v>210.75</v>
      </c>
      <c r="G33" s="2">
        <f>SUBTOTAL(109,Table1[tank_a6])</f>
        <v>177</v>
      </c>
      <c r="H33" s="2">
        <f>SUBTOTAL(109,Table1[tank_a7])</f>
        <v>229</v>
      </c>
      <c r="I33" s="2">
        <f>SUBTOTAL(109,Table1[tank_b1])</f>
        <v>207</v>
      </c>
      <c r="J33" s="2">
        <f>SUBTOTAL(109,Table1[tank_b2])</f>
        <v>186.5</v>
      </c>
      <c r="K33" s="2">
        <f>SUBTOTAL(109,Table1[tank_b3])</f>
        <v>229.25</v>
      </c>
      <c r="L33" s="2">
        <f>SUBTOTAL(109,Table1[tank_b4])</f>
        <v>200</v>
      </c>
      <c r="M33" s="2">
        <f>SUBTOTAL(109,Table1[tank_b5])</f>
        <v>236.15</v>
      </c>
      <c r="N33" s="2">
        <f>SUBTOTAL(109,Table1[tank_b6])</f>
        <v>186.6</v>
      </c>
      <c r="O33" s="2">
        <f>SUBTOTAL(109,Table1[tank_b7])</f>
        <v>206</v>
      </c>
      <c r="P33" s="2">
        <f>SUBTOTAL(109,Table1[daily_total])</f>
        <v>2982</v>
      </c>
    </row>
    <row r="55" spans="3:10" x14ac:dyDescent="0.25">
      <c r="E55" s="20" t="s">
        <v>0</v>
      </c>
      <c r="F55" s="20"/>
      <c r="G55" s="21" t="e">
        <f>#REF!+#REF!+#REF!+#REF!+#REF!+#REF!+#REF!+#REF!+#REF!+#REF!+#REF!+#REF!+#REF!+#REF!</f>
        <v>#REF!</v>
      </c>
      <c r="H55" s="21"/>
    </row>
    <row r="57" spans="3:10" x14ac:dyDescent="0.25">
      <c r="C57" s="16" t="s">
        <v>1</v>
      </c>
      <c r="D57" s="16"/>
      <c r="E57" s="16"/>
      <c r="F57" s="16"/>
      <c r="G57" s="17" t="e">
        <f>#REF!+G55</f>
        <v>#REF!</v>
      </c>
      <c r="H57" s="18"/>
      <c r="I57" s="18"/>
      <c r="J57" s="19"/>
    </row>
  </sheetData>
  <mergeCells count="4">
    <mergeCell ref="C57:F57"/>
    <mergeCell ref="G57:J57"/>
    <mergeCell ref="E55:F55"/>
    <mergeCell ref="G55:H55"/>
  </mergeCells>
  <phoneticPr fontId="2" type="noConversion"/>
  <pageMargins left="0.7" right="0.7" top="0.75" bottom="0.75" header="0.3" footer="0.3"/>
  <pageSetup scale="7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BF15-444E-4D21-B091-5FE8745BF879}">
  <dimension ref="A1:P32"/>
  <sheetViews>
    <sheetView zoomScale="90" zoomScaleNormal="90" workbookViewId="0">
      <selection activeCell="H16" sqref="H16"/>
    </sheetView>
  </sheetViews>
  <sheetFormatPr defaultRowHeight="15" x14ac:dyDescent="0.25"/>
  <cols>
    <col min="1" max="1" width="13.7109375" customWidth="1"/>
    <col min="16" max="16" width="13.7109375" customWidth="1"/>
  </cols>
  <sheetData>
    <row r="1" spans="1:16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</row>
    <row r="2" spans="1:16" x14ac:dyDescent="0.25">
      <c r="A2" s="15">
        <v>45962</v>
      </c>
      <c r="B2" s="2">
        <v>6</v>
      </c>
      <c r="C2" s="2">
        <v>5</v>
      </c>
      <c r="D2" s="2">
        <v>4</v>
      </c>
      <c r="E2" s="2">
        <v>5</v>
      </c>
      <c r="F2" s="2">
        <v>5</v>
      </c>
      <c r="G2" s="2">
        <v>4</v>
      </c>
      <c r="H2" s="2">
        <v>5</v>
      </c>
      <c r="I2" s="2">
        <v>5</v>
      </c>
      <c r="J2" s="2">
        <v>4</v>
      </c>
      <c r="K2" s="2">
        <v>4</v>
      </c>
      <c r="L2" s="2">
        <v>5</v>
      </c>
      <c r="M2" s="2">
        <v>5</v>
      </c>
      <c r="N2" s="2">
        <v>5</v>
      </c>
      <c r="O2" s="2">
        <v>4</v>
      </c>
      <c r="P2" s="2">
        <f>SUM(Table14[[#This Row],[tank_a1]:[tank_b7]])</f>
        <v>66</v>
      </c>
    </row>
    <row r="3" spans="1:16" x14ac:dyDescent="0.25">
      <c r="A3" s="15">
        <v>45963</v>
      </c>
      <c r="B3" s="2">
        <v>6</v>
      </c>
      <c r="C3" s="2">
        <v>10</v>
      </c>
      <c r="D3" s="2">
        <v>8</v>
      </c>
      <c r="E3" s="2">
        <v>10</v>
      </c>
      <c r="F3" s="2">
        <v>10</v>
      </c>
      <c r="G3" s="2">
        <v>4</v>
      </c>
      <c r="H3" s="2">
        <v>10</v>
      </c>
      <c r="I3" s="2">
        <v>10</v>
      </c>
      <c r="J3" s="2">
        <v>8</v>
      </c>
      <c r="K3" s="2">
        <v>6</v>
      </c>
      <c r="L3" s="2">
        <v>10</v>
      </c>
      <c r="M3" s="2">
        <v>10</v>
      </c>
      <c r="N3" s="2">
        <v>5</v>
      </c>
      <c r="O3" s="2">
        <v>4</v>
      </c>
      <c r="P3" s="2">
        <f>SUM(Table14[[#This Row],[tank_a1]:[tank_b7]])</f>
        <v>111</v>
      </c>
    </row>
    <row r="4" spans="1:16" x14ac:dyDescent="0.25">
      <c r="A4" s="15">
        <v>45964</v>
      </c>
      <c r="B4" s="2">
        <v>20</v>
      </c>
      <c r="C4" s="2">
        <v>17</v>
      </c>
      <c r="D4" s="2">
        <v>12.5</v>
      </c>
      <c r="E4" s="2">
        <v>15</v>
      </c>
      <c r="F4" s="2">
        <v>16.5</v>
      </c>
      <c r="G4" s="2">
        <v>12</v>
      </c>
      <c r="H4" s="2">
        <v>17</v>
      </c>
      <c r="I4" s="2">
        <v>15</v>
      </c>
      <c r="J4" s="2">
        <v>13</v>
      </c>
      <c r="K4" s="2">
        <v>17</v>
      </c>
      <c r="L4" s="2">
        <v>0</v>
      </c>
      <c r="M4" s="2">
        <v>0</v>
      </c>
      <c r="N4" s="2">
        <v>15</v>
      </c>
      <c r="O4" s="2">
        <v>12</v>
      </c>
      <c r="P4" s="2">
        <f>SUM(Table14[[#This Row],[tank_a1]:[tank_b7]])</f>
        <v>182</v>
      </c>
    </row>
    <row r="5" spans="1:16" x14ac:dyDescent="0.25">
      <c r="A5" s="15">
        <v>45965</v>
      </c>
      <c r="B5" s="2">
        <v>11.5</v>
      </c>
      <c r="C5" s="2">
        <v>9.4</v>
      </c>
      <c r="D5" s="2">
        <v>8.35</v>
      </c>
      <c r="E5" s="2">
        <v>10</v>
      </c>
      <c r="F5" s="2">
        <v>4</v>
      </c>
      <c r="G5" s="2">
        <v>7.5</v>
      </c>
      <c r="H5" s="2">
        <v>9.6999999999999993</v>
      </c>
      <c r="I5" s="2">
        <v>11.5</v>
      </c>
      <c r="J5" s="2">
        <v>9.5</v>
      </c>
      <c r="K5" s="2">
        <v>6.25</v>
      </c>
      <c r="L5" s="2">
        <v>0</v>
      </c>
      <c r="M5" s="2">
        <v>3</v>
      </c>
      <c r="N5" s="2">
        <v>6.75</v>
      </c>
      <c r="O5" s="2">
        <v>8</v>
      </c>
      <c r="P5" s="2">
        <f>SUM(Table14[[#This Row],[tank_a1]:[tank_b7]])</f>
        <v>105.45</v>
      </c>
    </row>
    <row r="6" spans="1:16" x14ac:dyDescent="0.25">
      <c r="A6" s="15">
        <v>45966</v>
      </c>
      <c r="B6" s="2">
        <v>12.25</v>
      </c>
      <c r="C6" s="2">
        <v>12</v>
      </c>
      <c r="D6" s="2">
        <v>9</v>
      </c>
      <c r="E6" s="2">
        <v>10</v>
      </c>
      <c r="F6" s="2">
        <v>12.25</v>
      </c>
      <c r="G6" s="2">
        <v>6.5</v>
      </c>
      <c r="H6" s="2">
        <v>13.5</v>
      </c>
      <c r="I6" s="2">
        <v>8.8000000000000007</v>
      </c>
      <c r="J6" s="2">
        <v>5.3</v>
      </c>
      <c r="K6" s="2">
        <v>7.5</v>
      </c>
      <c r="L6" s="2">
        <v>9.8000000000000007</v>
      </c>
      <c r="M6" s="2">
        <v>9</v>
      </c>
      <c r="N6" s="2">
        <v>7.25</v>
      </c>
      <c r="O6" s="2">
        <v>10</v>
      </c>
      <c r="P6" s="2">
        <f>SUM(Table14[[#This Row],[tank_a1]:[tank_b7]])</f>
        <v>133.14999999999998</v>
      </c>
    </row>
    <row r="7" spans="1:16" x14ac:dyDescent="0.25">
      <c r="A7" s="15">
        <v>45967</v>
      </c>
      <c r="B7" s="2">
        <v>7.5</v>
      </c>
      <c r="C7" s="2">
        <v>8.15</v>
      </c>
      <c r="D7" s="2">
        <v>5.55</v>
      </c>
      <c r="E7" s="2">
        <v>7.5</v>
      </c>
      <c r="F7" s="2">
        <v>9.5</v>
      </c>
      <c r="G7" s="2">
        <v>5.5</v>
      </c>
      <c r="H7" s="2">
        <v>7.25</v>
      </c>
      <c r="I7" s="2">
        <v>7.25</v>
      </c>
      <c r="J7" s="2">
        <v>6.85</v>
      </c>
      <c r="K7" s="2">
        <v>6.7</v>
      </c>
      <c r="L7" s="2">
        <v>6.6</v>
      </c>
      <c r="M7" s="2">
        <v>7.65</v>
      </c>
      <c r="N7" s="2">
        <v>5.75</v>
      </c>
      <c r="O7" s="2">
        <v>6</v>
      </c>
      <c r="P7" s="2">
        <f>SUM(Table14[[#This Row],[tank_a1]:[tank_b7]])</f>
        <v>97.75</v>
      </c>
    </row>
    <row r="8" spans="1:16" x14ac:dyDescent="0.25">
      <c r="A8" s="15">
        <v>45968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f>SUM(Table14[[#This Row],[tank_a1]:[tank_b7]])</f>
        <v>0</v>
      </c>
    </row>
    <row r="9" spans="1:16" x14ac:dyDescent="0.25">
      <c r="A9" s="15">
        <v>45969</v>
      </c>
      <c r="B9" s="2">
        <v>10</v>
      </c>
      <c r="C9" s="2">
        <v>9</v>
      </c>
      <c r="D9" s="2">
        <v>6.75</v>
      </c>
      <c r="E9" s="2">
        <v>7.5</v>
      </c>
      <c r="F9" s="2">
        <v>9.25</v>
      </c>
      <c r="G9" s="2">
        <v>5</v>
      </c>
      <c r="H9" s="2">
        <v>9</v>
      </c>
      <c r="I9" s="2">
        <v>8</v>
      </c>
      <c r="J9" s="2">
        <v>7</v>
      </c>
      <c r="K9" s="2">
        <v>10</v>
      </c>
      <c r="L9" s="2">
        <v>8.5</v>
      </c>
      <c r="M9" s="2">
        <v>9</v>
      </c>
      <c r="N9" s="2">
        <v>7.75</v>
      </c>
      <c r="O9" s="2">
        <v>6</v>
      </c>
      <c r="P9" s="2">
        <f>SUM(Table14[[#This Row],[tank_a1]:[tank_b7]])</f>
        <v>112.75</v>
      </c>
    </row>
    <row r="10" spans="1:16" x14ac:dyDescent="0.25">
      <c r="A10" s="15">
        <v>45970</v>
      </c>
      <c r="B10" s="2">
        <v>10</v>
      </c>
      <c r="C10" s="2">
        <v>9</v>
      </c>
      <c r="D10" s="2">
        <v>6.75</v>
      </c>
      <c r="E10" s="2">
        <v>7.5</v>
      </c>
      <c r="F10" s="2">
        <v>6.25</v>
      </c>
      <c r="G10" s="2">
        <v>5</v>
      </c>
      <c r="H10" s="2">
        <v>9</v>
      </c>
      <c r="I10" s="2">
        <v>8</v>
      </c>
      <c r="J10" s="2">
        <v>7</v>
      </c>
      <c r="K10" s="2">
        <v>10</v>
      </c>
      <c r="L10" s="2">
        <v>8.5</v>
      </c>
      <c r="M10" s="2">
        <v>9</v>
      </c>
      <c r="N10" s="2">
        <v>7.75</v>
      </c>
      <c r="O10" s="2">
        <v>6</v>
      </c>
      <c r="P10" s="2">
        <f>SUM(Table14[[#This Row],[tank_a1]:[tank_b7]])</f>
        <v>109.75</v>
      </c>
    </row>
    <row r="11" spans="1:16" x14ac:dyDescent="0.25">
      <c r="A11" s="15">
        <v>45971</v>
      </c>
      <c r="B11" s="2">
        <v>7</v>
      </c>
      <c r="C11" s="2">
        <v>6</v>
      </c>
      <c r="D11" s="2">
        <v>4.5</v>
      </c>
      <c r="E11" s="2">
        <v>5</v>
      </c>
      <c r="F11" s="2">
        <v>0</v>
      </c>
      <c r="G11" s="2">
        <v>4</v>
      </c>
      <c r="H11" s="2">
        <v>6</v>
      </c>
      <c r="I11" s="2">
        <v>6</v>
      </c>
      <c r="J11" s="2">
        <v>5</v>
      </c>
      <c r="K11" s="2">
        <v>7</v>
      </c>
      <c r="L11" s="2">
        <v>6</v>
      </c>
      <c r="M11" s="2">
        <v>6</v>
      </c>
      <c r="N11" s="2">
        <v>5.5</v>
      </c>
      <c r="O11" s="2">
        <v>4</v>
      </c>
      <c r="P11" s="2">
        <f>SUM(Table14[[#This Row],[tank_a1]:[tank_b7]])</f>
        <v>72</v>
      </c>
    </row>
    <row r="12" spans="1:16" x14ac:dyDescent="0.25">
      <c r="A12" s="15">
        <v>45972</v>
      </c>
      <c r="B12" s="2">
        <v>10</v>
      </c>
      <c r="C12" s="2">
        <v>9</v>
      </c>
      <c r="D12" s="2">
        <v>6.75</v>
      </c>
      <c r="E12" s="2">
        <v>7.5</v>
      </c>
      <c r="F12" s="2">
        <v>9.25</v>
      </c>
      <c r="G12" s="2">
        <v>5</v>
      </c>
      <c r="H12" s="2">
        <v>9</v>
      </c>
      <c r="I12" s="2">
        <v>8</v>
      </c>
      <c r="J12" s="2">
        <v>7</v>
      </c>
      <c r="K12" s="2">
        <v>10</v>
      </c>
      <c r="L12" s="2">
        <v>8.5</v>
      </c>
      <c r="M12" s="2">
        <v>9</v>
      </c>
      <c r="N12" s="2">
        <v>7.75</v>
      </c>
      <c r="O12" s="2">
        <v>6</v>
      </c>
      <c r="P12" s="2">
        <f>SUM(Table14[[#This Row],[tank_a1]:[tank_b7]])</f>
        <v>112.75</v>
      </c>
    </row>
    <row r="13" spans="1:16" x14ac:dyDescent="0.25">
      <c r="A13" s="15">
        <v>45973</v>
      </c>
      <c r="B13" s="2">
        <v>10</v>
      </c>
      <c r="C13" s="2">
        <v>9</v>
      </c>
      <c r="D13" s="2">
        <v>6.75</v>
      </c>
      <c r="E13" s="2">
        <v>7.5</v>
      </c>
      <c r="F13" s="2">
        <v>9.25</v>
      </c>
      <c r="G13" s="2">
        <v>5</v>
      </c>
      <c r="H13" s="2">
        <v>9</v>
      </c>
      <c r="I13" s="2">
        <v>8</v>
      </c>
      <c r="J13" s="2">
        <v>7</v>
      </c>
      <c r="K13" s="2">
        <v>10</v>
      </c>
      <c r="L13" s="2">
        <v>8.5</v>
      </c>
      <c r="M13" s="2">
        <v>9</v>
      </c>
      <c r="N13" s="2">
        <v>7.75</v>
      </c>
      <c r="O13" s="2">
        <v>6</v>
      </c>
      <c r="P13" s="2">
        <f>SUM(Table14[[#This Row],[tank_a1]:[tank_b7]])</f>
        <v>112.75</v>
      </c>
    </row>
    <row r="14" spans="1:16" x14ac:dyDescent="0.25">
      <c r="A14" s="15">
        <v>45974</v>
      </c>
      <c r="B14" s="2">
        <v>10</v>
      </c>
      <c r="C14" s="2">
        <v>9</v>
      </c>
      <c r="D14" s="2">
        <v>6.75</v>
      </c>
      <c r="E14" s="2">
        <v>7.5</v>
      </c>
      <c r="F14" s="2">
        <v>9.25</v>
      </c>
      <c r="G14" s="2">
        <v>5</v>
      </c>
      <c r="H14" s="2">
        <v>9</v>
      </c>
      <c r="I14" s="2">
        <v>8</v>
      </c>
      <c r="J14" s="2">
        <v>7</v>
      </c>
      <c r="K14" s="2">
        <v>10</v>
      </c>
      <c r="L14" s="2">
        <v>8.5</v>
      </c>
      <c r="M14" s="2">
        <v>9</v>
      </c>
      <c r="N14" s="2">
        <v>7.75</v>
      </c>
      <c r="O14" s="2">
        <v>6</v>
      </c>
      <c r="P14" s="2">
        <f>SUM(Table14[[#This Row],[tank_a1]:[tank_b7]])</f>
        <v>112.75</v>
      </c>
    </row>
    <row r="15" spans="1:16" x14ac:dyDescent="0.25">
      <c r="A15" s="15">
        <v>45975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f>SUM(Table14[[#This Row],[tank_a1]:[tank_b7]])</f>
        <v>0</v>
      </c>
    </row>
    <row r="16" spans="1:16" x14ac:dyDescent="0.25">
      <c r="A16" s="15">
        <v>45976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>
        <v>0</v>
      </c>
      <c r="P16" s="2">
        <f>SUM(Table14[[#This Row],[tank_a1]:[tank_b7]])</f>
        <v>0</v>
      </c>
    </row>
    <row r="17" spans="1:16" x14ac:dyDescent="0.25">
      <c r="A17" s="15">
        <v>45977</v>
      </c>
      <c r="B17" s="3">
        <v>10.5</v>
      </c>
      <c r="C17" s="3">
        <v>9</v>
      </c>
      <c r="D17" s="3">
        <v>6.75</v>
      </c>
      <c r="E17" s="3">
        <v>7.5</v>
      </c>
      <c r="F17" s="3">
        <v>9.75</v>
      </c>
      <c r="G17" s="3">
        <v>6</v>
      </c>
      <c r="H17" s="3">
        <v>9</v>
      </c>
      <c r="I17" s="3">
        <v>9</v>
      </c>
      <c r="J17" s="3">
        <v>7.5</v>
      </c>
      <c r="K17" s="3">
        <v>2</v>
      </c>
      <c r="L17" s="3">
        <v>9</v>
      </c>
      <c r="M17" s="3">
        <v>9</v>
      </c>
      <c r="N17" s="3">
        <v>8.25</v>
      </c>
      <c r="O17" s="4">
        <v>6</v>
      </c>
      <c r="P17" s="2">
        <f>SUM(Table14[[#This Row],[tank_a1]:[tank_b7]])</f>
        <v>109.25</v>
      </c>
    </row>
    <row r="18" spans="1:16" x14ac:dyDescent="0.25">
      <c r="A18" s="15">
        <v>45978</v>
      </c>
      <c r="B18" s="3">
        <v>10.5</v>
      </c>
      <c r="C18" s="3">
        <v>9</v>
      </c>
      <c r="D18" s="3">
        <v>6.75</v>
      </c>
      <c r="E18" s="3">
        <v>7.5</v>
      </c>
      <c r="F18" s="3">
        <v>9.75</v>
      </c>
      <c r="G18" s="3">
        <v>5</v>
      </c>
      <c r="H18" s="3">
        <v>9</v>
      </c>
      <c r="I18" s="3">
        <v>9</v>
      </c>
      <c r="J18" s="3">
        <v>7.5</v>
      </c>
      <c r="K18" s="3">
        <v>0</v>
      </c>
      <c r="L18" s="3">
        <v>9</v>
      </c>
      <c r="M18" s="3">
        <v>9</v>
      </c>
      <c r="N18" s="3">
        <v>7.75</v>
      </c>
      <c r="O18" s="4">
        <v>6</v>
      </c>
      <c r="P18" s="2">
        <f>SUM(Table14[[#This Row],[tank_a1]:[tank_b7]])</f>
        <v>105.75</v>
      </c>
    </row>
    <row r="19" spans="1:16" x14ac:dyDescent="0.25">
      <c r="A19" s="15">
        <v>45979</v>
      </c>
      <c r="B19" s="3">
        <v>10.5</v>
      </c>
      <c r="C19" s="3">
        <v>9</v>
      </c>
      <c r="D19" s="3">
        <v>6.75</v>
      </c>
      <c r="E19" s="3">
        <v>7.5</v>
      </c>
      <c r="F19" s="3">
        <v>9.75</v>
      </c>
      <c r="G19" s="3">
        <v>5</v>
      </c>
      <c r="H19" s="3">
        <v>9</v>
      </c>
      <c r="I19" s="3">
        <v>8</v>
      </c>
      <c r="J19" s="3">
        <v>7.5</v>
      </c>
      <c r="K19" s="3">
        <v>10.5</v>
      </c>
      <c r="L19" s="3">
        <v>9</v>
      </c>
      <c r="M19" s="3">
        <v>9</v>
      </c>
      <c r="N19" s="3">
        <v>7.75</v>
      </c>
      <c r="O19" s="4">
        <v>6</v>
      </c>
      <c r="P19" s="2">
        <f>SUM(Table14[[#This Row],[tank_a1]:[tank_b7]])</f>
        <v>115.25</v>
      </c>
    </row>
    <row r="20" spans="1:16" x14ac:dyDescent="0.25">
      <c r="A20" s="15">
        <v>45980</v>
      </c>
      <c r="B20" s="3">
        <v>10.5</v>
      </c>
      <c r="C20" s="3">
        <v>9</v>
      </c>
      <c r="D20" s="3">
        <v>6.75</v>
      </c>
      <c r="E20" s="3">
        <v>10</v>
      </c>
      <c r="F20" s="3">
        <v>9.25</v>
      </c>
      <c r="G20" s="3">
        <v>5</v>
      </c>
      <c r="H20" s="3">
        <v>9</v>
      </c>
      <c r="I20" s="3">
        <v>8</v>
      </c>
      <c r="J20" s="3">
        <v>7.5</v>
      </c>
      <c r="K20" s="3">
        <v>10.5</v>
      </c>
      <c r="L20" s="3">
        <v>9</v>
      </c>
      <c r="M20" s="3">
        <v>9</v>
      </c>
      <c r="N20" s="3">
        <v>7.75</v>
      </c>
      <c r="O20" s="4">
        <v>6</v>
      </c>
      <c r="P20" s="2">
        <f>SUM(Table14[[#This Row],[tank_a1]:[tank_b7]])</f>
        <v>117.25</v>
      </c>
    </row>
    <row r="21" spans="1:16" x14ac:dyDescent="0.25">
      <c r="A21" s="15">
        <v>45981</v>
      </c>
      <c r="B21" s="3">
        <v>10.5</v>
      </c>
      <c r="C21" s="3">
        <v>6</v>
      </c>
      <c r="D21" s="3">
        <v>6.75</v>
      </c>
      <c r="E21" s="3">
        <v>10</v>
      </c>
      <c r="F21" s="3">
        <v>6</v>
      </c>
      <c r="G21" s="3">
        <v>5</v>
      </c>
      <c r="H21" s="3">
        <v>9</v>
      </c>
      <c r="I21" s="3">
        <v>8</v>
      </c>
      <c r="J21" s="3">
        <v>7.5</v>
      </c>
      <c r="K21" s="3">
        <v>10.5</v>
      </c>
      <c r="L21" s="3">
        <v>9</v>
      </c>
      <c r="M21" s="3">
        <v>9</v>
      </c>
      <c r="N21" s="3">
        <v>7.75</v>
      </c>
      <c r="O21" s="4">
        <v>6</v>
      </c>
      <c r="P21" s="2">
        <f>SUM(Table14[[#This Row],[tank_a1]:[tank_b7]])</f>
        <v>111</v>
      </c>
    </row>
    <row r="22" spans="1:16" x14ac:dyDescent="0.25">
      <c r="A22" s="15">
        <v>45982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4">
        <v>0</v>
      </c>
      <c r="P22" s="2">
        <f>SUM(Table14[[#This Row],[tank_a1]:[tank_b7]])</f>
        <v>0</v>
      </c>
    </row>
    <row r="23" spans="1:16" x14ac:dyDescent="0.25">
      <c r="A23" s="15">
        <v>45983</v>
      </c>
      <c r="B23" s="3">
        <v>16.5</v>
      </c>
      <c r="C23" s="3">
        <v>15.5</v>
      </c>
      <c r="D23" s="3">
        <v>13</v>
      </c>
      <c r="E23" s="3">
        <v>13</v>
      </c>
      <c r="F23" s="3">
        <v>15</v>
      </c>
      <c r="G23" s="3">
        <v>9.5</v>
      </c>
      <c r="H23" s="3">
        <v>15</v>
      </c>
      <c r="I23" s="3">
        <v>14</v>
      </c>
      <c r="J23" s="3">
        <v>10.5</v>
      </c>
      <c r="K23" s="3">
        <v>17</v>
      </c>
      <c r="L23" s="3">
        <v>15</v>
      </c>
      <c r="M23" s="3">
        <v>14.5</v>
      </c>
      <c r="N23" s="3">
        <v>13</v>
      </c>
      <c r="O23" s="4">
        <v>11</v>
      </c>
      <c r="P23" s="2">
        <f>SUM(Table14[[#This Row],[tank_a1]:[tank_b7]])</f>
        <v>192.5</v>
      </c>
    </row>
    <row r="24" spans="1:16" x14ac:dyDescent="0.25">
      <c r="A24" s="15">
        <v>45984</v>
      </c>
      <c r="B24" s="3">
        <v>16.5</v>
      </c>
      <c r="C24" s="3">
        <v>15.5</v>
      </c>
      <c r="D24" s="3">
        <v>13</v>
      </c>
      <c r="E24" s="3">
        <v>13</v>
      </c>
      <c r="F24" s="3">
        <v>4</v>
      </c>
      <c r="G24" s="3">
        <v>9.5</v>
      </c>
      <c r="H24" s="3">
        <v>15</v>
      </c>
      <c r="I24" s="3">
        <v>14</v>
      </c>
      <c r="J24" s="3">
        <v>10.5</v>
      </c>
      <c r="K24" s="3">
        <v>10</v>
      </c>
      <c r="L24" s="3">
        <v>15</v>
      </c>
      <c r="M24" s="3">
        <v>14.5</v>
      </c>
      <c r="N24" s="3">
        <v>13</v>
      </c>
      <c r="O24" s="4">
        <v>11</v>
      </c>
      <c r="P24" s="2">
        <f>SUM(Table14[[#This Row],[tank_a1]:[tank_b7]])</f>
        <v>174.5</v>
      </c>
    </row>
    <row r="25" spans="1:16" x14ac:dyDescent="0.25">
      <c r="A25" s="15">
        <v>45985</v>
      </c>
      <c r="B25" s="3">
        <v>16.5</v>
      </c>
      <c r="C25" s="3">
        <v>15.5</v>
      </c>
      <c r="D25" s="3">
        <v>13</v>
      </c>
      <c r="E25" s="3">
        <v>13</v>
      </c>
      <c r="F25" s="3">
        <v>8.6</v>
      </c>
      <c r="G25" s="3">
        <v>9.5</v>
      </c>
      <c r="H25" s="3">
        <v>15</v>
      </c>
      <c r="I25" s="3">
        <v>14</v>
      </c>
      <c r="J25" s="3">
        <v>10.5</v>
      </c>
      <c r="K25" s="3">
        <v>9</v>
      </c>
      <c r="L25" s="3">
        <v>7</v>
      </c>
      <c r="M25" s="3">
        <v>14.5</v>
      </c>
      <c r="N25" s="3">
        <v>13</v>
      </c>
      <c r="O25" s="4">
        <v>11</v>
      </c>
      <c r="P25" s="2">
        <f>SUM(Table14[[#This Row],[tank_a1]:[tank_b7]])</f>
        <v>170.1</v>
      </c>
    </row>
    <row r="26" spans="1:16" x14ac:dyDescent="0.25">
      <c r="A26" s="15">
        <v>45986</v>
      </c>
      <c r="B26" s="3">
        <v>16.5</v>
      </c>
      <c r="C26" s="3">
        <v>15.5</v>
      </c>
      <c r="D26" s="3">
        <v>13</v>
      </c>
      <c r="E26" s="3">
        <v>13</v>
      </c>
      <c r="F26" s="3">
        <v>10</v>
      </c>
      <c r="G26" s="3">
        <v>9.5</v>
      </c>
      <c r="H26" s="3">
        <v>15</v>
      </c>
      <c r="I26" s="3">
        <v>14</v>
      </c>
      <c r="J26" s="3">
        <v>10.5</v>
      </c>
      <c r="K26" s="3">
        <v>10</v>
      </c>
      <c r="L26" s="3">
        <v>10.5</v>
      </c>
      <c r="M26" s="3">
        <v>10.5</v>
      </c>
      <c r="N26" s="3">
        <v>9</v>
      </c>
      <c r="O26" s="4">
        <v>11</v>
      </c>
      <c r="P26" s="2">
        <f>SUM(Table14[[#This Row],[tank_a1]:[tank_b7]])</f>
        <v>168</v>
      </c>
    </row>
    <row r="27" spans="1:16" x14ac:dyDescent="0.25">
      <c r="A27" s="15">
        <v>45987</v>
      </c>
      <c r="B27" s="3">
        <v>13.5</v>
      </c>
      <c r="C27" s="3">
        <v>15.5</v>
      </c>
      <c r="D27" s="3">
        <v>11.5</v>
      </c>
      <c r="E27" s="3">
        <v>12.2</v>
      </c>
      <c r="F27" s="3">
        <v>0</v>
      </c>
      <c r="G27" s="3">
        <v>9.5</v>
      </c>
      <c r="H27" s="3">
        <v>13</v>
      </c>
      <c r="I27" s="3">
        <v>14</v>
      </c>
      <c r="J27" s="3">
        <v>10.5</v>
      </c>
      <c r="K27" s="3">
        <v>10</v>
      </c>
      <c r="L27" s="3">
        <v>15</v>
      </c>
      <c r="M27" s="3">
        <v>0</v>
      </c>
      <c r="N27" s="3">
        <v>13</v>
      </c>
      <c r="O27" s="4">
        <v>11</v>
      </c>
      <c r="P27" s="2">
        <f>SUM(Table14[[#This Row],[tank_a1]:[tank_b7]])</f>
        <v>148.69999999999999</v>
      </c>
    </row>
    <row r="28" spans="1:16" x14ac:dyDescent="0.25">
      <c r="A28" s="15">
        <v>45988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4">
        <v>0</v>
      </c>
      <c r="P28" s="2">
        <f>SUM(Table14[[#This Row],[tank_a1]:[tank_b7]])</f>
        <v>0</v>
      </c>
    </row>
    <row r="29" spans="1:16" x14ac:dyDescent="0.25">
      <c r="A29" s="15">
        <v>45989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4">
        <v>0</v>
      </c>
      <c r="P29" s="2">
        <f>SUM(Table14[[#This Row],[tank_a1]:[tank_b7]])</f>
        <v>0</v>
      </c>
    </row>
    <row r="30" spans="1:16" x14ac:dyDescent="0.25">
      <c r="A30" s="15">
        <v>45990</v>
      </c>
      <c r="B30" s="3">
        <v>5.5</v>
      </c>
      <c r="C30" s="3">
        <v>5</v>
      </c>
      <c r="D30" s="3">
        <v>4.5</v>
      </c>
      <c r="E30" s="3">
        <v>4.5</v>
      </c>
      <c r="F30" s="3">
        <v>5</v>
      </c>
      <c r="G30" s="3">
        <v>3</v>
      </c>
      <c r="H30" s="3">
        <v>5.5</v>
      </c>
      <c r="I30" s="3">
        <v>5.5</v>
      </c>
      <c r="J30" s="3">
        <v>3.5</v>
      </c>
      <c r="K30" s="3">
        <v>6</v>
      </c>
      <c r="L30" s="3">
        <v>5</v>
      </c>
      <c r="M30" s="3">
        <v>2</v>
      </c>
      <c r="N30" s="3">
        <v>5</v>
      </c>
      <c r="O30" s="4">
        <v>3.5</v>
      </c>
      <c r="P30" s="2">
        <f>SUM(Table14[[#This Row],[tank_a1]:[tank_b7]])</f>
        <v>63.5</v>
      </c>
    </row>
    <row r="31" spans="1:16" x14ac:dyDescent="0.25">
      <c r="A31" s="15">
        <v>45991</v>
      </c>
      <c r="B31" s="3">
        <v>5.5</v>
      </c>
      <c r="C31" s="3">
        <v>5</v>
      </c>
      <c r="D31" s="3">
        <v>4.5</v>
      </c>
      <c r="E31" s="3">
        <v>4.5</v>
      </c>
      <c r="F31" s="3">
        <v>5</v>
      </c>
      <c r="G31" s="3">
        <v>3</v>
      </c>
      <c r="H31" s="3">
        <v>5.5</v>
      </c>
      <c r="I31" s="3">
        <v>5.5</v>
      </c>
      <c r="J31" s="3">
        <v>3.5</v>
      </c>
      <c r="K31" s="3">
        <v>6</v>
      </c>
      <c r="L31" s="3">
        <v>5</v>
      </c>
      <c r="M31" s="3">
        <v>3</v>
      </c>
      <c r="N31" s="3">
        <v>5</v>
      </c>
      <c r="O31" s="4">
        <v>3.5</v>
      </c>
      <c r="P31" s="2">
        <f>SUM(Table14[[#This Row],[tank_a1]:[tank_b7]])</f>
        <v>64.5</v>
      </c>
    </row>
    <row r="32" spans="1:16" x14ac:dyDescent="0.25">
      <c r="A32" s="2" t="s">
        <v>2</v>
      </c>
      <c r="B32" s="2">
        <f>SUBTOTAL(109,Table14[tank_a1])</f>
        <v>263.25</v>
      </c>
      <c r="C32" s="2">
        <f>SUBTOTAL(109,Table14[tank_a2])</f>
        <v>242.05</v>
      </c>
      <c r="D32" s="2">
        <f>SUBTOTAL(109,Table14[tank_a3])</f>
        <v>191.9</v>
      </c>
      <c r="E32" s="2">
        <f>SUBTOTAL(109,Table14[tank_a4])</f>
        <v>215.7</v>
      </c>
      <c r="F32" s="2">
        <f>SUBTOTAL(109,Table14[tank_a5])</f>
        <v>192.6</v>
      </c>
      <c r="G32" s="2">
        <f>SUBTOTAL(109,Table14[tank_a6])</f>
        <v>148</v>
      </c>
      <c r="H32" s="2">
        <f>SUBTOTAL(109,Table14[tank_a7])</f>
        <v>242.45</v>
      </c>
      <c r="I32" s="2">
        <f>SUBTOTAL(109,Table14[tank_b1])</f>
        <v>226.55</v>
      </c>
      <c r="J32" s="2">
        <f>SUBTOTAL(109,Table14[tank_b2])</f>
        <v>183.65</v>
      </c>
      <c r="K32" s="2">
        <f>SUBTOTAL(109,Table14[tank_b3])</f>
        <v>205.95</v>
      </c>
      <c r="L32" s="2">
        <f>SUBTOTAL(109,Table14[tank_b4])</f>
        <v>197.4</v>
      </c>
      <c r="M32" s="2">
        <f>SUBTOTAL(109,Table14[tank_b5])</f>
        <v>189.65</v>
      </c>
      <c r="N32" s="2">
        <f>SUBTOTAL(109,Table14[tank_b6])</f>
        <v>199.25</v>
      </c>
      <c r="O32" s="2">
        <f>SUBTOTAL(109,Table14[tank_b7])</f>
        <v>170</v>
      </c>
      <c r="P32" s="2">
        <f>SUBTOTAL(109,Table14[daily_total])</f>
        <v>2868.3999999999996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0B27-B2B2-42D9-8E84-9BDC2780E914}">
  <dimension ref="A1:P33"/>
  <sheetViews>
    <sheetView zoomScale="90" zoomScaleNormal="90" workbookViewId="0">
      <selection activeCell="I18" sqref="I18"/>
    </sheetView>
  </sheetViews>
  <sheetFormatPr defaultRowHeight="15" x14ac:dyDescent="0.25"/>
  <cols>
    <col min="1" max="1" width="13.7109375" customWidth="1"/>
    <col min="16" max="16" width="19" customWidth="1"/>
  </cols>
  <sheetData>
    <row r="1" spans="1:16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</row>
    <row r="2" spans="1:16" x14ac:dyDescent="0.25">
      <c r="A2" s="15">
        <v>45992</v>
      </c>
      <c r="B2" s="2">
        <v>8.5</v>
      </c>
      <c r="C2" s="2">
        <v>8</v>
      </c>
      <c r="D2" s="2">
        <v>6.5</v>
      </c>
      <c r="E2" s="2">
        <v>6.5</v>
      </c>
      <c r="F2" s="2">
        <v>8</v>
      </c>
      <c r="G2" s="2">
        <v>5</v>
      </c>
      <c r="H2" s="2">
        <v>7.5</v>
      </c>
      <c r="I2" s="2">
        <v>7.5</v>
      </c>
      <c r="J2" s="2">
        <v>5.5</v>
      </c>
      <c r="K2" s="2">
        <v>9</v>
      </c>
      <c r="L2" s="2">
        <v>8</v>
      </c>
      <c r="M2" s="2">
        <v>8</v>
      </c>
      <c r="N2" s="2">
        <v>7</v>
      </c>
      <c r="O2" s="2">
        <v>5.5</v>
      </c>
      <c r="P2" s="2">
        <f>SUM(Table146[[#This Row],[tank_a1]:[tank_b7]])</f>
        <v>100.5</v>
      </c>
    </row>
    <row r="3" spans="1:16" x14ac:dyDescent="0.25">
      <c r="A3" s="15">
        <v>45993</v>
      </c>
      <c r="B3" s="2">
        <v>8.5</v>
      </c>
      <c r="C3" s="2">
        <v>8</v>
      </c>
      <c r="D3" s="2">
        <v>6.5</v>
      </c>
      <c r="E3" s="2">
        <v>6.5</v>
      </c>
      <c r="F3" s="2">
        <v>8</v>
      </c>
      <c r="G3" s="2">
        <v>5</v>
      </c>
      <c r="H3" s="2">
        <v>7.5</v>
      </c>
      <c r="I3" s="2">
        <v>7.5</v>
      </c>
      <c r="J3" s="2">
        <v>5.5</v>
      </c>
      <c r="K3" s="2">
        <v>8</v>
      </c>
      <c r="L3" s="2">
        <v>7</v>
      </c>
      <c r="M3" s="2">
        <v>7</v>
      </c>
      <c r="N3" s="2">
        <v>6</v>
      </c>
      <c r="O3" s="2">
        <v>5.5</v>
      </c>
      <c r="P3" s="2">
        <f>SUM(Table146[[#This Row],[tank_a1]:[tank_b7]])</f>
        <v>96.5</v>
      </c>
    </row>
    <row r="4" spans="1:16" x14ac:dyDescent="0.25">
      <c r="A4" s="15">
        <v>45994</v>
      </c>
      <c r="B4" s="2">
        <v>8.5</v>
      </c>
      <c r="C4" s="2">
        <v>8</v>
      </c>
      <c r="D4" s="2">
        <v>6.5</v>
      </c>
      <c r="E4" s="2">
        <v>6.5</v>
      </c>
      <c r="F4" s="2">
        <v>8</v>
      </c>
      <c r="G4" s="2">
        <v>5</v>
      </c>
      <c r="H4" s="2">
        <v>7.5</v>
      </c>
      <c r="I4" s="2">
        <v>7.5</v>
      </c>
      <c r="J4" s="2">
        <v>5.5</v>
      </c>
      <c r="K4" s="2">
        <v>8</v>
      </c>
      <c r="L4" s="2">
        <v>7</v>
      </c>
      <c r="M4" s="2">
        <v>7</v>
      </c>
      <c r="N4" s="2">
        <v>6</v>
      </c>
      <c r="O4" s="2">
        <v>5.5</v>
      </c>
      <c r="P4" s="2">
        <f>SUM(Table146[[#This Row],[tank_a1]:[tank_b7]])</f>
        <v>96.5</v>
      </c>
    </row>
    <row r="5" spans="1:16" x14ac:dyDescent="0.25">
      <c r="A5" s="15">
        <v>45995</v>
      </c>
      <c r="B5" s="2">
        <v>8.5</v>
      </c>
      <c r="C5" s="2">
        <v>8</v>
      </c>
      <c r="D5" s="2">
        <v>6.5</v>
      </c>
      <c r="E5" s="2">
        <v>6.5</v>
      </c>
      <c r="F5" s="2">
        <v>8</v>
      </c>
      <c r="G5" s="2">
        <v>5</v>
      </c>
      <c r="H5" s="2">
        <v>7.5</v>
      </c>
      <c r="I5" s="2">
        <v>7.5</v>
      </c>
      <c r="J5" s="2">
        <v>5.5</v>
      </c>
      <c r="K5" s="2">
        <v>8</v>
      </c>
      <c r="L5" s="2">
        <v>7</v>
      </c>
      <c r="M5" s="2">
        <v>7</v>
      </c>
      <c r="N5" s="2">
        <v>6</v>
      </c>
      <c r="O5" s="2">
        <v>5.5</v>
      </c>
      <c r="P5" s="2">
        <f>SUM(Table146[[#This Row],[tank_a1]:[tank_b7]])</f>
        <v>96.5</v>
      </c>
    </row>
    <row r="6" spans="1:16" x14ac:dyDescent="0.25">
      <c r="A6" s="15">
        <v>45996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f>SUM(Table146[[#This Row],[tank_a1]:[tank_b7]])</f>
        <v>0</v>
      </c>
    </row>
    <row r="7" spans="1:16" x14ac:dyDescent="0.25">
      <c r="A7" s="15">
        <v>45997</v>
      </c>
      <c r="B7" s="2">
        <v>8.5</v>
      </c>
      <c r="C7" s="2">
        <v>8</v>
      </c>
      <c r="D7" s="2">
        <v>6.5</v>
      </c>
      <c r="E7" s="2">
        <v>6.5</v>
      </c>
      <c r="F7" s="2">
        <v>8</v>
      </c>
      <c r="G7" s="2">
        <v>5</v>
      </c>
      <c r="H7" s="2">
        <v>7</v>
      </c>
      <c r="I7" s="2">
        <v>7.5</v>
      </c>
      <c r="J7" s="2">
        <v>5.5</v>
      </c>
      <c r="K7" s="2">
        <v>8</v>
      </c>
      <c r="L7" s="2">
        <v>7</v>
      </c>
      <c r="M7" s="2">
        <v>4</v>
      </c>
      <c r="N7" s="2">
        <v>6</v>
      </c>
      <c r="O7" s="2">
        <v>5.5</v>
      </c>
      <c r="P7" s="2">
        <f>SUM(Table146[[#This Row],[tank_a1]:[tank_b7]])</f>
        <v>93</v>
      </c>
    </row>
    <row r="8" spans="1:16" x14ac:dyDescent="0.25">
      <c r="A8" s="15">
        <v>45998</v>
      </c>
      <c r="B8" s="2">
        <v>8.5</v>
      </c>
      <c r="C8" s="2">
        <v>8</v>
      </c>
      <c r="D8" s="2">
        <v>6.5</v>
      </c>
      <c r="E8" s="2">
        <v>6.5</v>
      </c>
      <c r="F8" s="2">
        <v>8</v>
      </c>
      <c r="G8" s="2">
        <v>5</v>
      </c>
      <c r="H8" s="2">
        <v>7.5</v>
      </c>
      <c r="I8" s="2">
        <v>7.5</v>
      </c>
      <c r="J8" s="2">
        <v>5.5</v>
      </c>
      <c r="K8" s="2">
        <v>8</v>
      </c>
      <c r="L8" s="2">
        <v>7</v>
      </c>
      <c r="M8" s="2">
        <v>7</v>
      </c>
      <c r="N8" s="2">
        <v>6</v>
      </c>
      <c r="O8" s="2">
        <v>5.5</v>
      </c>
      <c r="P8" s="2">
        <f>SUM(Table146[[#This Row],[tank_a1]:[tank_b7]])</f>
        <v>96.5</v>
      </c>
    </row>
    <row r="9" spans="1:16" x14ac:dyDescent="0.25">
      <c r="A9" s="15">
        <v>45999</v>
      </c>
      <c r="B9" s="2">
        <v>8.5</v>
      </c>
      <c r="C9" s="2">
        <v>8</v>
      </c>
      <c r="D9" s="2">
        <v>6.5</v>
      </c>
      <c r="E9" s="2">
        <v>6.5</v>
      </c>
      <c r="F9" s="2">
        <v>8</v>
      </c>
      <c r="G9" s="2">
        <v>5</v>
      </c>
      <c r="H9" s="2">
        <v>7.5</v>
      </c>
      <c r="I9" s="2">
        <v>7.5</v>
      </c>
      <c r="J9" s="2">
        <v>5.5</v>
      </c>
      <c r="K9" s="2">
        <v>8</v>
      </c>
      <c r="L9" s="2">
        <v>7</v>
      </c>
      <c r="M9" s="2">
        <v>7</v>
      </c>
      <c r="N9" s="2">
        <v>6</v>
      </c>
      <c r="O9" s="2">
        <v>5.5</v>
      </c>
      <c r="P9" s="2">
        <f>SUM(Table146[[#This Row],[tank_a1]:[tank_b7]])</f>
        <v>96.5</v>
      </c>
    </row>
    <row r="10" spans="1:16" x14ac:dyDescent="0.25">
      <c r="A10" s="15">
        <v>46000</v>
      </c>
      <c r="B10" s="2">
        <v>8.5</v>
      </c>
      <c r="C10" s="2">
        <v>8</v>
      </c>
      <c r="D10" s="2">
        <v>6.5</v>
      </c>
      <c r="E10" s="2">
        <v>6.5</v>
      </c>
      <c r="F10" s="2">
        <v>8</v>
      </c>
      <c r="G10" s="2">
        <v>5</v>
      </c>
      <c r="H10" s="2">
        <v>7.5</v>
      </c>
      <c r="I10" s="2">
        <v>7.5</v>
      </c>
      <c r="J10" s="2">
        <v>5.5</v>
      </c>
      <c r="K10" s="2">
        <v>8</v>
      </c>
      <c r="L10" s="2">
        <v>7</v>
      </c>
      <c r="M10" s="2">
        <v>7</v>
      </c>
      <c r="N10" s="2">
        <v>6</v>
      </c>
      <c r="O10" s="2">
        <v>5.5</v>
      </c>
      <c r="P10" s="2">
        <f>SUM(Table146[[#This Row],[tank_a1]:[tank_b7]])</f>
        <v>96.5</v>
      </c>
    </row>
    <row r="11" spans="1:16" x14ac:dyDescent="0.25">
      <c r="A11" s="15">
        <v>46001</v>
      </c>
      <c r="B11" s="2">
        <v>8.5</v>
      </c>
      <c r="C11" s="2">
        <v>8</v>
      </c>
      <c r="D11" s="2">
        <v>6.5</v>
      </c>
      <c r="E11" s="2">
        <v>6.5</v>
      </c>
      <c r="F11" s="2">
        <v>8</v>
      </c>
      <c r="G11" s="2">
        <v>5</v>
      </c>
      <c r="H11" s="2">
        <v>7.5</v>
      </c>
      <c r="I11" s="2">
        <v>7.5</v>
      </c>
      <c r="J11" s="2">
        <v>5.5</v>
      </c>
      <c r="K11" s="2">
        <v>8</v>
      </c>
      <c r="L11" s="2">
        <v>7</v>
      </c>
      <c r="M11" s="2">
        <v>7</v>
      </c>
      <c r="N11" s="2">
        <v>6</v>
      </c>
      <c r="O11" s="2">
        <v>5.5</v>
      </c>
      <c r="P11" s="2">
        <f>SUM(Table146[[#This Row],[tank_a1]:[tank_b7]])</f>
        <v>96.5</v>
      </c>
    </row>
    <row r="12" spans="1:16" x14ac:dyDescent="0.25">
      <c r="A12" s="15">
        <v>46002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f>SUM(Table146[[#This Row],[tank_a1]:[tank_b7]])</f>
        <v>0</v>
      </c>
    </row>
    <row r="13" spans="1:16" x14ac:dyDescent="0.25">
      <c r="A13" s="15">
        <v>46003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f>SUM(Table146[[#This Row],[tank_a1]:[tank_b7]])</f>
        <v>0</v>
      </c>
    </row>
    <row r="14" spans="1:16" x14ac:dyDescent="0.25">
      <c r="A14" s="15">
        <v>46004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f>SUM(Table146[[#This Row],[tank_a1]:[tank_b7]])</f>
        <v>0</v>
      </c>
    </row>
    <row r="15" spans="1:16" x14ac:dyDescent="0.25">
      <c r="A15" s="15">
        <v>46005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f>SUM(Table146[[#This Row],[tank_a1]:[tank_b7]])</f>
        <v>0</v>
      </c>
    </row>
    <row r="16" spans="1:16" x14ac:dyDescent="0.25">
      <c r="A16" s="15">
        <v>46006</v>
      </c>
      <c r="B16" s="3">
        <v>8.5</v>
      </c>
      <c r="C16" s="3">
        <v>8</v>
      </c>
      <c r="D16" s="3">
        <v>6.5</v>
      </c>
      <c r="E16" s="3">
        <v>6.5</v>
      </c>
      <c r="F16" s="3">
        <v>8</v>
      </c>
      <c r="G16" s="3">
        <v>5</v>
      </c>
      <c r="H16" s="3">
        <v>7.5</v>
      </c>
      <c r="I16" s="3">
        <v>7.5</v>
      </c>
      <c r="J16" s="3">
        <v>5.5</v>
      </c>
      <c r="K16" s="3">
        <v>8</v>
      </c>
      <c r="L16" s="3">
        <v>7</v>
      </c>
      <c r="M16" s="3">
        <v>7</v>
      </c>
      <c r="N16" s="3">
        <v>6</v>
      </c>
      <c r="O16" s="4">
        <v>5.5</v>
      </c>
      <c r="P16" s="2">
        <f>SUM(Table146[[#This Row],[tank_a1]:[tank_b7]])</f>
        <v>96.5</v>
      </c>
    </row>
    <row r="17" spans="1:16" x14ac:dyDescent="0.25">
      <c r="A17" s="15">
        <v>46007</v>
      </c>
      <c r="B17" s="2">
        <v>8.5</v>
      </c>
      <c r="C17" s="2">
        <v>8</v>
      </c>
      <c r="D17" s="2">
        <v>6.5</v>
      </c>
      <c r="E17" s="2">
        <v>6.5</v>
      </c>
      <c r="F17" s="2">
        <v>8</v>
      </c>
      <c r="G17" s="2">
        <v>5</v>
      </c>
      <c r="H17" s="2">
        <v>7.5</v>
      </c>
      <c r="I17" s="2">
        <v>7.5</v>
      </c>
      <c r="J17" s="2">
        <v>5.5</v>
      </c>
      <c r="K17" s="2">
        <v>8</v>
      </c>
      <c r="L17" s="2">
        <v>7</v>
      </c>
      <c r="M17" s="2">
        <v>7</v>
      </c>
      <c r="N17" s="2">
        <v>6</v>
      </c>
      <c r="O17" s="2">
        <v>5.5</v>
      </c>
      <c r="P17" s="2">
        <f>SUM(Table146[[#This Row],[tank_a1]:[tank_b7]])</f>
        <v>96.5</v>
      </c>
    </row>
    <row r="18" spans="1:16" x14ac:dyDescent="0.25">
      <c r="A18" s="15">
        <v>46008</v>
      </c>
      <c r="B18" s="2">
        <v>4</v>
      </c>
      <c r="C18" s="2">
        <v>3</v>
      </c>
      <c r="D18" s="2">
        <v>3</v>
      </c>
      <c r="E18" s="2">
        <v>3</v>
      </c>
      <c r="F18" s="2">
        <v>3.5</v>
      </c>
      <c r="G18" s="2">
        <v>2</v>
      </c>
      <c r="H18" s="2">
        <v>3</v>
      </c>
      <c r="I18" s="2">
        <v>3</v>
      </c>
      <c r="J18" s="2">
        <v>2</v>
      </c>
      <c r="K18" s="2">
        <v>3.5</v>
      </c>
      <c r="L18" s="2">
        <v>3</v>
      </c>
      <c r="M18" s="2">
        <v>3</v>
      </c>
      <c r="N18" s="2">
        <v>2.5</v>
      </c>
      <c r="O18" s="2">
        <v>2.5</v>
      </c>
      <c r="P18" s="2">
        <f>SUM(Table146[[#This Row],[tank_a1]:[tank_b7]])</f>
        <v>41</v>
      </c>
    </row>
    <row r="19" spans="1:16" x14ac:dyDescent="0.25">
      <c r="A19" s="15">
        <v>46009</v>
      </c>
      <c r="B19" s="2">
        <v>8.5</v>
      </c>
      <c r="C19" s="2">
        <v>8</v>
      </c>
      <c r="D19" s="2">
        <v>6.5</v>
      </c>
      <c r="E19" s="2">
        <v>6.5</v>
      </c>
      <c r="F19" s="2">
        <v>8</v>
      </c>
      <c r="G19" s="2">
        <v>5</v>
      </c>
      <c r="H19" s="2">
        <v>7.5</v>
      </c>
      <c r="I19" s="2">
        <v>7.5</v>
      </c>
      <c r="J19" s="2">
        <v>5.5</v>
      </c>
      <c r="K19" s="2">
        <v>8</v>
      </c>
      <c r="L19" s="2">
        <v>7</v>
      </c>
      <c r="M19" s="2" t="s">
        <v>3</v>
      </c>
      <c r="N19" s="2">
        <v>6</v>
      </c>
      <c r="O19" s="2">
        <v>5.5</v>
      </c>
      <c r="P19" s="2">
        <f>SUM(Table146[[#This Row],[tank_a1]:[tank_b7]])</f>
        <v>89.5</v>
      </c>
    </row>
    <row r="20" spans="1:16" x14ac:dyDescent="0.25">
      <c r="A20" s="15">
        <v>46010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f>SUM(Table146[[#This Row],[tank_a1]:[tank_b7]])</f>
        <v>0</v>
      </c>
    </row>
    <row r="21" spans="1:16" x14ac:dyDescent="0.25">
      <c r="A21" s="15">
        <v>46011</v>
      </c>
      <c r="B21" s="2">
        <v>8.5</v>
      </c>
      <c r="C21" s="2">
        <v>8</v>
      </c>
      <c r="D21" s="2">
        <v>6.5</v>
      </c>
      <c r="E21" s="2">
        <v>6.5</v>
      </c>
      <c r="F21" s="2">
        <v>8</v>
      </c>
      <c r="G21" s="2">
        <v>5</v>
      </c>
      <c r="H21" s="2">
        <v>7.5</v>
      </c>
      <c r="I21" s="2">
        <v>7.5</v>
      </c>
      <c r="J21" s="2">
        <v>5.5</v>
      </c>
      <c r="K21" s="2">
        <v>8</v>
      </c>
      <c r="L21" s="2">
        <v>7</v>
      </c>
      <c r="M21" s="2" t="s">
        <v>3</v>
      </c>
      <c r="N21" s="2">
        <v>6</v>
      </c>
      <c r="O21" s="2">
        <v>5.5</v>
      </c>
      <c r="P21" s="2">
        <f>SUM(Table146[[#This Row],[tank_a1]:[tank_b7]])</f>
        <v>89.5</v>
      </c>
    </row>
    <row r="22" spans="1:16" x14ac:dyDescent="0.25">
      <c r="A22" s="15">
        <v>46012</v>
      </c>
      <c r="B22" s="2">
        <v>8.5</v>
      </c>
      <c r="C22" s="2">
        <v>8</v>
      </c>
      <c r="D22" s="2">
        <v>6.5</v>
      </c>
      <c r="E22" s="2">
        <v>6.5</v>
      </c>
      <c r="F22" s="2">
        <v>8</v>
      </c>
      <c r="G22" s="2">
        <v>5</v>
      </c>
      <c r="H22" s="2">
        <v>7.5</v>
      </c>
      <c r="I22" s="2">
        <v>7.5</v>
      </c>
      <c r="J22" s="2">
        <v>5.5</v>
      </c>
      <c r="K22" s="2">
        <v>8</v>
      </c>
      <c r="L22" s="2">
        <v>7</v>
      </c>
      <c r="M22" s="2" t="s">
        <v>3</v>
      </c>
      <c r="N22" s="2">
        <v>6</v>
      </c>
      <c r="O22" s="2">
        <v>5.5</v>
      </c>
      <c r="P22" s="2">
        <f>SUM(Table146[[#This Row],[tank_a1]:[tank_b7]])</f>
        <v>89.5</v>
      </c>
    </row>
    <row r="23" spans="1:16" x14ac:dyDescent="0.25">
      <c r="A23" s="15">
        <v>46013</v>
      </c>
      <c r="B23" s="2">
        <v>8.5</v>
      </c>
      <c r="C23" s="2">
        <v>8</v>
      </c>
      <c r="D23" s="2">
        <v>6.5</v>
      </c>
      <c r="E23" s="2">
        <v>6.5</v>
      </c>
      <c r="F23" s="2">
        <v>8</v>
      </c>
      <c r="G23" s="2">
        <v>5</v>
      </c>
      <c r="H23" s="2">
        <v>7.5</v>
      </c>
      <c r="I23" s="2">
        <v>7.5</v>
      </c>
      <c r="J23" s="2">
        <v>5.5</v>
      </c>
      <c r="K23" s="2">
        <v>8</v>
      </c>
      <c r="L23" s="2">
        <v>7</v>
      </c>
      <c r="M23" s="2" t="s">
        <v>3</v>
      </c>
      <c r="N23" s="2">
        <v>6</v>
      </c>
      <c r="O23" s="2">
        <v>5.5</v>
      </c>
      <c r="P23" s="2">
        <f>SUM(Table146[[#This Row],[tank_a1]:[tank_b7]])</f>
        <v>89.5</v>
      </c>
    </row>
    <row r="24" spans="1:16" x14ac:dyDescent="0.25">
      <c r="A24" s="15">
        <v>46014</v>
      </c>
      <c r="B24" s="2">
        <v>8.5</v>
      </c>
      <c r="C24" s="2">
        <v>8</v>
      </c>
      <c r="D24" s="2">
        <v>6.5</v>
      </c>
      <c r="E24" s="2">
        <v>6.5</v>
      </c>
      <c r="F24" s="2">
        <v>8</v>
      </c>
      <c r="G24" s="2">
        <v>5</v>
      </c>
      <c r="H24" s="2">
        <v>7.5</v>
      </c>
      <c r="I24" s="2">
        <v>7.5</v>
      </c>
      <c r="J24" s="2">
        <v>5.5</v>
      </c>
      <c r="K24" s="2">
        <v>8</v>
      </c>
      <c r="L24" s="2">
        <v>7</v>
      </c>
      <c r="M24" s="2">
        <v>7</v>
      </c>
      <c r="N24" s="2">
        <v>6</v>
      </c>
      <c r="O24" s="2">
        <v>5.5</v>
      </c>
      <c r="P24" s="2">
        <f>SUM(Table146[[#This Row],[tank_a1]:[tank_b7]])</f>
        <v>96.5</v>
      </c>
    </row>
    <row r="25" spans="1:16" x14ac:dyDescent="0.25">
      <c r="A25" s="15">
        <v>46015</v>
      </c>
      <c r="B25" s="2">
        <v>12.5</v>
      </c>
      <c r="C25" s="2">
        <v>11</v>
      </c>
      <c r="D25" s="2">
        <v>8.5</v>
      </c>
      <c r="E25" s="2">
        <v>10</v>
      </c>
      <c r="F25" s="2">
        <v>11.5</v>
      </c>
      <c r="G25" s="2">
        <v>7.5</v>
      </c>
      <c r="H25" s="2">
        <v>10.5</v>
      </c>
      <c r="I25" s="2">
        <v>10.5</v>
      </c>
      <c r="J25" s="2">
        <v>9</v>
      </c>
      <c r="K25" s="2">
        <v>10.5</v>
      </c>
      <c r="L25" s="2">
        <v>9.5</v>
      </c>
      <c r="M25" s="2">
        <v>10.5</v>
      </c>
      <c r="N25" s="2">
        <v>8</v>
      </c>
      <c r="O25" s="2">
        <v>8</v>
      </c>
      <c r="P25" s="2">
        <f>SUM(Table146[[#This Row],[tank_a1]:[tank_b7]])</f>
        <v>137.5</v>
      </c>
    </row>
    <row r="26" spans="1:16" x14ac:dyDescent="0.25">
      <c r="A26" s="15">
        <v>46016</v>
      </c>
      <c r="B26" s="2">
        <v>12.5</v>
      </c>
      <c r="C26" s="2">
        <v>11</v>
      </c>
      <c r="D26" s="2">
        <v>8.5</v>
      </c>
      <c r="E26" s="2">
        <v>10</v>
      </c>
      <c r="F26" s="2">
        <v>11.5</v>
      </c>
      <c r="G26" s="2">
        <v>7.5</v>
      </c>
      <c r="H26" s="2">
        <v>10.5</v>
      </c>
      <c r="I26" s="2">
        <v>10.5</v>
      </c>
      <c r="J26" s="2">
        <v>9</v>
      </c>
      <c r="K26" s="2">
        <v>10.5</v>
      </c>
      <c r="L26" s="2">
        <v>9.5</v>
      </c>
      <c r="M26" s="2">
        <v>10.5</v>
      </c>
      <c r="N26" s="2">
        <v>8</v>
      </c>
      <c r="O26" s="2">
        <v>8</v>
      </c>
      <c r="P26" s="2">
        <f>SUM(Table146[[#This Row],[tank_a1]:[tank_b7]])</f>
        <v>137.5</v>
      </c>
    </row>
    <row r="27" spans="1:16" x14ac:dyDescent="0.25">
      <c r="A27" s="15">
        <v>46017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f>SUM(Table146[[#This Row],[tank_a1]:[tank_b7]])</f>
        <v>0</v>
      </c>
    </row>
    <row r="28" spans="1:16" x14ac:dyDescent="0.25">
      <c r="A28" s="15">
        <v>46018</v>
      </c>
      <c r="B28" s="2">
        <v>12.5</v>
      </c>
      <c r="C28" s="2">
        <v>11</v>
      </c>
      <c r="D28" s="2">
        <v>8.5</v>
      </c>
      <c r="E28" s="2">
        <v>10</v>
      </c>
      <c r="F28" s="2">
        <v>11.5</v>
      </c>
      <c r="G28" s="2">
        <v>7.5</v>
      </c>
      <c r="H28" s="2">
        <v>10.5</v>
      </c>
      <c r="I28" s="2">
        <v>10.5</v>
      </c>
      <c r="J28" s="2">
        <v>9</v>
      </c>
      <c r="K28" s="2">
        <v>10.5</v>
      </c>
      <c r="L28" s="2">
        <v>9.5</v>
      </c>
      <c r="M28" s="2">
        <v>10.5</v>
      </c>
      <c r="N28" s="2">
        <v>8</v>
      </c>
      <c r="O28" s="2">
        <v>8</v>
      </c>
      <c r="P28" s="2">
        <f>SUM(Table146[[#This Row],[tank_a1]:[tank_b7]])</f>
        <v>137.5</v>
      </c>
    </row>
    <row r="29" spans="1:16" x14ac:dyDescent="0.25">
      <c r="A29" s="15">
        <v>46019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f>SUM(Table146[[#This Row],[tank_a1]:[tank_b7]])</f>
        <v>0</v>
      </c>
    </row>
    <row r="30" spans="1:16" x14ac:dyDescent="0.25">
      <c r="A30" s="15">
        <v>46020</v>
      </c>
      <c r="B30" s="2">
        <v>6.2</v>
      </c>
      <c r="C30" s="2">
        <v>5.25</v>
      </c>
      <c r="D30" s="2">
        <v>4.2</v>
      </c>
      <c r="E30" s="2">
        <v>5</v>
      </c>
      <c r="F30" s="2">
        <v>5.6</v>
      </c>
      <c r="G30" s="2">
        <v>3.6</v>
      </c>
      <c r="H30" s="2">
        <v>5.2</v>
      </c>
      <c r="I30" s="2">
        <v>5.2</v>
      </c>
      <c r="J30" s="2">
        <v>4.5</v>
      </c>
      <c r="K30" s="2">
        <v>5.2</v>
      </c>
      <c r="L30" s="2">
        <v>4.5599999999999996</v>
      </c>
      <c r="M30" s="2">
        <v>5.2</v>
      </c>
      <c r="N30" s="2">
        <v>4</v>
      </c>
      <c r="O30" s="2">
        <v>4</v>
      </c>
      <c r="P30" s="2">
        <f>SUM(Table146[[#This Row],[tank_a1]:[tank_b7]])</f>
        <v>67.710000000000008</v>
      </c>
    </row>
    <row r="31" spans="1:16" x14ac:dyDescent="0.25">
      <c r="A31" s="15">
        <v>46021</v>
      </c>
      <c r="B31" s="2">
        <v>9.5</v>
      </c>
      <c r="C31" s="2">
        <v>8.25</v>
      </c>
      <c r="D31" s="2">
        <v>6.3</v>
      </c>
      <c r="E31" s="2">
        <v>7.5</v>
      </c>
      <c r="F31" s="2">
        <v>8.1</v>
      </c>
      <c r="G31" s="2">
        <v>5.4</v>
      </c>
      <c r="H31" s="2">
        <v>7.8</v>
      </c>
      <c r="I31" s="2">
        <v>7.8</v>
      </c>
      <c r="J31" s="2">
        <v>6.75</v>
      </c>
      <c r="K31" s="2">
        <v>7.8</v>
      </c>
      <c r="L31" s="2">
        <v>7.3</v>
      </c>
      <c r="M31" s="2">
        <v>7.8</v>
      </c>
      <c r="N31" s="2">
        <v>6</v>
      </c>
      <c r="O31" s="2">
        <v>6</v>
      </c>
      <c r="P31" s="2">
        <f>SUM(Table146[[#This Row],[tank_a1]:[tank_b7]])</f>
        <v>102.29999999999998</v>
      </c>
    </row>
    <row r="32" spans="1:16" x14ac:dyDescent="0.25">
      <c r="A32" s="15">
        <v>46022</v>
      </c>
      <c r="B32" s="2">
        <v>13</v>
      </c>
      <c r="C32" s="2">
        <v>11</v>
      </c>
      <c r="D32" s="2">
        <v>9</v>
      </c>
      <c r="E32" s="2">
        <v>10</v>
      </c>
      <c r="F32" s="2">
        <v>12</v>
      </c>
      <c r="G32" s="2">
        <v>8</v>
      </c>
      <c r="H32" s="2">
        <v>11</v>
      </c>
      <c r="I32" s="2">
        <v>11</v>
      </c>
      <c r="J32" s="2">
        <v>9</v>
      </c>
      <c r="K32" s="2">
        <v>5.5</v>
      </c>
      <c r="L32" s="2">
        <v>10</v>
      </c>
      <c r="M32" s="2">
        <v>11</v>
      </c>
      <c r="N32" s="2">
        <v>8</v>
      </c>
      <c r="O32" s="2">
        <v>8</v>
      </c>
      <c r="P32" s="2">
        <f>SUM(Table146[[#This Row],[tank_a1]:[tank_b7]])</f>
        <v>136.5</v>
      </c>
    </row>
    <row r="33" spans="1:16" x14ac:dyDescent="0.25">
      <c r="A33" s="2" t="s">
        <v>2</v>
      </c>
      <c r="B33" s="2">
        <f>SUBTOTAL(109,Table146[tank_a1])</f>
        <v>206.2</v>
      </c>
      <c r="C33" s="2">
        <f>SUBTOTAL(109,Table146[tank_a2])</f>
        <v>188.5</v>
      </c>
      <c r="D33" s="2">
        <f>SUBTOTAL(109,Table146[tank_a3])</f>
        <v>152</v>
      </c>
      <c r="E33" s="2">
        <f>SUBTOTAL(109,Table146[tank_a4])</f>
        <v>159.5</v>
      </c>
      <c r="F33" s="2">
        <f>SUBTOTAL(109,Table146[tank_a5])</f>
        <v>191.7</v>
      </c>
      <c r="G33" s="2">
        <f>SUBTOTAL(109,Table146[tank_a6])</f>
        <v>121.5</v>
      </c>
      <c r="H33" s="2">
        <f>SUBTOTAL(109,Table146[tank_a7])</f>
        <v>178</v>
      </c>
      <c r="I33" s="2">
        <f>SUBTOTAL(109,Table146[tank_b1])</f>
        <v>178.5</v>
      </c>
      <c r="J33" s="2">
        <f>SUBTOTAL(109,Table146[tank_b2])</f>
        <v>137.25</v>
      </c>
      <c r="K33" s="2">
        <f>SUBTOTAL(109,Table146[tank_b3])</f>
        <v>182.5</v>
      </c>
      <c r="L33" s="2">
        <f>SUBTOTAL(109,Table146[tank_b4])</f>
        <v>166.36</v>
      </c>
      <c r="M33" s="2">
        <f>SUBTOTAL(109,Table146[tank_b5])</f>
        <v>140.5</v>
      </c>
      <c r="N33" s="2">
        <f>SUBTOTAL(109,Table146[tank_b6])</f>
        <v>141.5</v>
      </c>
      <c r="O33" s="2">
        <f>SUBTOTAL(109,Table146[tank_b7])</f>
        <v>132.5</v>
      </c>
      <c r="P33" s="2">
        <f>SUBTOTAL(109,Table146[daily_total])</f>
        <v>2276.5100000000002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03B6-1BE5-49A0-B999-3F09647FA4E1}">
  <dimension ref="A1:P33"/>
  <sheetViews>
    <sheetView zoomScale="90" zoomScaleNormal="90" workbookViewId="0">
      <selection activeCell="J18" sqref="J18"/>
    </sheetView>
  </sheetViews>
  <sheetFormatPr defaultRowHeight="15" x14ac:dyDescent="0.25"/>
  <cols>
    <col min="1" max="1" width="13.7109375" customWidth="1"/>
    <col min="16" max="16" width="19" customWidth="1"/>
  </cols>
  <sheetData>
    <row r="1" spans="1:16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</row>
    <row r="2" spans="1:16" x14ac:dyDescent="0.25">
      <c r="A2" s="15">
        <v>45658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>
        <f>SUM(Table1469[[#This Row],[tank_a1]:[tank_b7]])</f>
        <v>0</v>
      </c>
    </row>
    <row r="3" spans="1:16" x14ac:dyDescent="0.25">
      <c r="A3" s="15">
        <v>45659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f>SUM(Table1469[[#This Row],[tank_a1]:[tank_b7]])</f>
        <v>0</v>
      </c>
    </row>
    <row r="4" spans="1:16" x14ac:dyDescent="0.25">
      <c r="A4" s="15">
        <v>45660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f>SUM(Table1469[[#This Row],[tank_a1]:[tank_b7]])</f>
        <v>0</v>
      </c>
    </row>
    <row r="5" spans="1:16" x14ac:dyDescent="0.25">
      <c r="A5" s="15">
        <v>45661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f>SUM(Table1469[[#This Row],[tank_a1]:[tank_b7]])</f>
        <v>0</v>
      </c>
    </row>
    <row r="6" spans="1:16" x14ac:dyDescent="0.25">
      <c r="A6" s="15">
        <v>45662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f>SUM(Table1469[[#This Row],[tank_a1]:[tank_b7]])</f>
        <v>0</v>
      </c>
    </row>
    <row r="7" spans="1:16" x14ac:dyDescent="0.25">
      <c r="A7" s="15">
        <v>45663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f>SUM(Table1469[[#This Row],[tank_a1]:[tank_b7]])</f>
        <v>0</v>
      </c>
    </row>
    <row r="8" spans="1:16" x14ac:dyDescent="0.25">
      <c r="A8" s="15">
        <v>45664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f>SUM(Table1469[[#This Row],[tank_a1]:[tank_b7]])</f>
        <v>0</v>
      </c>
    </row>
    <row r="9" spans="1:16" x14ac:dyDescent="0.25">
      <c r="A9" s="15">
        <v>45665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f>SUM(Table1469[[#This Row],[tank_a1]:[tank_b7]])</f>
        <v>0</v>
      </c>
    </row>
    <row r="10" spans="1:16" x14ac:dyDescent="0.25">
      <c r="A10" s="15">
        <v>45666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f>SUM(Table1469[[#This Row],[tank_a1]:[tank_b7]])</f>
        <v>0</v>
      </c>
    </row>
    <row r="11" spans="1:16" x14ac:dyDescent="0.25">
      <c r="A11" s="15">
        <v>45667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f>SUM(Table1469[[#This Row],[tank_a1]:[tank_b7]])</f>
        <v>0</v>
      </c>
    </row>
    <row r="12" spans="1:16" x14ac:dyDescent="0.25">
      <c r="A12" s="15">
        <v>45668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f>SUM(Table1469[[#This Row],[tank_a1]:[tank_b7]])</f>
        <v>0</v>
      </c>
    </row>
    <row r="13" spans="1:16" x14ac:dyDescent="0.25">
      <c r="A13" s="15">
        <v>45669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f>SUM(Table1469[[#This Row],[tank_a1]:[tank_b7]])</f>
        <v>0</v>
      </c>
    </row>
    <row r="14" spans="1:16" x14ac:dyDescent="0.25">
      <c r="A14" s="15">
        <v>45670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f>SUM(Table1469[[#This Row],[tank_a1]:[tank_b7]])</f>
        <v>0</v>
      </c>
    </row>
    <row r="15" spans="1:16" x14ac:dyDescent="0.25">
      <c r="A15" s="15">
        <v>45671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f>SUM(Table1469[[#This Row],[tank_a1]:[tank_b7]])</f>
        <v>0</v>
      </c>
    </row>
    <row r="16" spans="1:16" x14ac:dyDescent="0.25">
      <c r="A16" s="15">
        <v>45672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2">
        <f>SUM(Table1469[[#This Row],[tank_a1]:[tank_b7]])</f>
        <v>0</v>
      </c>
    </row>
    <row r="17" spans="1:16" ht="18.75" x14ac:dyDescent="0.25">
      <c r="A17" s="15">
        <v>45673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2">
        <f>SUM(Table1469[[#This Row],[tank_a1]:[tank_b7]])</f>
        <v>0</v>
      </c>
    </row>
    <row r="18" spans="1:16" x14ac:dyDescent="0.25">
      <c r="A18" s="15">
        <v>45674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f>SUM(Table1469[[#This Row],[tank_a1]:[tank_b7]])</f>
        <v>0</v>
      </c>
    </row>
    <row r="19" spans="1:16" x14ac:dyDescent="0.25">
      <c r="A19" s="15">
        <v>45675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f>SUM(Table1469[[#This Row],[tank_a1]:[tank_b7]])</f>
        <v>0</v>
      </c>
    </row>
    <row r="20" spans="1:16" x14ac:dyDescent="0.25">
      <c r="A20" s="15">
        <v>45676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f>SUM(Table1469[[#This Row],[tank_a1]:[tank_b7]])</f>
        <v>0</v>
      </c>
    </row>
    <row r="21" spans="1:16" x14ac:dyDescent="0.25">
      <c r="A21" s="15">
        <v>45677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f>SUM(Table1469[[#This Row],[tank_a1]:[tank_b7]])</f>
        <v>0</v>
      </c>
    </row>
    <row r="22" spans="1:16" x14ac:dyDescent="0.25">
      <c r="A22" s="15">
        <v>45678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f>SUM(Table1469[[#This Row],[tank_a1]:[tank_b7]])</f>
        <v>0</v>
      </c>
    </row>
    <row r="23" spans="1:16" x14ac:dyDescent="0.25">
      <c r="A23" s="15">
        <v>45679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f>SUM(Table1469[[#This Row],[tank_a1]:[tank_b7]])</f>
        <v>0</v>
      </c>
    </row>
    <row r="24" spans="1:16" x14ac:dyDescent="0.25">
      <c r="A24" s="15">
        <v>45680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f>SUM(Table1469[[#This Row],[tank_a1]:[tank_b7]])</f>
        <v>0</v>
      </c>
    </row>
    <row r="25" spans="1:16" x14ac:dyDescent="0.25">
      <c r="A25" s="15">
        <v>45681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f>SUM(Table1469[[#This Row],[tank_a1]:[tank_b7]])</f>
        <v>0</v>
      </c>
    </row>
    <row r="26" spans="1:16" x14ac:dyDescent="0.25">
      <c r="A26" s="15">
        <v>45682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f>SUM(Table1469[[#This Row],[tank_a1]:[tank_b7]])</f>
        <v>0</v>
      </c>
    </row>
    <row r="27" spans="1:16" x14ac:dyDescent="0.25">
      <c r="A27" s="15">
        <v>45683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f>SUM(Table1469[[#This Row],[tank_a1]:[tank_b7]])</f>
        <v>0</v>
      </c>
    </row>
    <row r="28" spans="1:16" x14ac:dyDescent="0.25">
      <c r="A28" s="15">
        <v>45684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f>SUM(Table1469[[#This Row],[tank_a1]:[tank_b7]])</f>
        <v>0</v>
      </c>
    </row>
    <row r="29" spans="1:16" x14ac:dyDescent="0.25">
      <c r="A29" s="15">
        <v>45685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f>SUM(Table1469[[#This Row],[tank_a1]:[tank_b7]])</f>
        <v>0</v>
      </c>
    </row>
    <row r="30" spans="1:16" x14ac:dyDescent="0.25">
      <c r="A30" s="15">
        <v>45686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f>SUM(Table1469[[#This Row],[tank_a1]:[tank_b7]])</f>
        <v>0</v>
      </c>
    </row>
    <row r="31" spans="1:16" x14ac:dyDescent="0.25">
      <c r="A31" s="15">
        <v>45687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f>SUM(Table1469[[#This Row],[tank_a1]:[tank_b7]])</f>
        <v>0</v>
      </c>
    </row>
    <row r="32" spans="1:16" x14ac:dyDescent="0.25">
      <c r="A32" s="15">
        <v>45688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f>SUM(Table1469[[#This Row],[tank_a1]:[tank_b7]])</f>
        <v>0</v>
      </c>
    </row>
    <row r="33" spans="1:16" x14ac:dyDescent="0.25">
      <c r="A33" s="2" t="s">
        <v>2</v>
      </c>
      <c r="B33" s="2">
        <f>SUBTOTAL(109,Table1469[tank_a1])</f>
        <v>0</v>
      </c>
      <c r="C33" s="2">
        <f>SUBTOTAL(109,Table1469[tank_a2])</f>
        <v>0</v>
      </c>
      <c r="D33" s="2">
        <f>SUBTOTAL(109,Table1469[tank_a3])</f>
        <v>0</v>
      </c>
      <c r="E33" s="2">
        <f>SUBTOTAL(109,Table1469[tank_a4])</f>
        <v>0</v>
      </c>
      <c r="F33" s="2">
        <f>SUBTOTAL(109,Table1469[tank_a5])</f>
        <v>0</v>
      </c>
      <c r="G33" s="2">
        <f>SUBTOTAL(109,Table1469[tank_a6])</f>
        <v>0</v>
      </c>
      <c r="H33" s="2">
        <f>SUBTOTAL(109,Table1469[tank_a7])</f>
        <v>0</v>
      </c>
      <c r="I33" s="2">
        <f>SUBTOTAL(109,Table1469[tank_b1])</f>
        <v>0</v>
      </c>
      <c r="J33" s="2">
        <f>SUBTOTAL(109,Table1469[tank_b2])</f>
        <v>0</v>
      </c>
      <c r="K33" s="2">
        <f>SUBTOTAL(109,Table1469[tank_b3])</f>
        <v>0</v>
      </c>
      <c r="L33" s="2">
        <f>SUBTOTAL(109,Table1469[tank_b4])</f>
        <v>0</v>
      </c>
      <c r="M33" s="2">
        <f>SUBTOTAL(109,Table1469[tank_b5])</f>
        <v>0</v>
      </c>
      <c r="N33" s="2">
        <f>SUBTOTAL(109,Table1469[tank_b6])</f>
        <v>0</v>
      </c>
      <c r="O33" s="2">
        <f>SUBTOTAL(109,Table1469[tank_b7])</f>
        <v>0</v>
      </c>
      <c r="P33" s="2">
        <f>SUBTOTAL(109,Table1469[daily_total])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B200-D341-4D7A-A011-417BE394ABF7}">
  <dimension ref="A1:P30"/>
  <sheetViews>
    <sheetView zoomScale="90" zoomScaleNormal="90" workbookViewId="0">
      <selection activeCell="G10" sqref="G10"/>
    </sheetView>
  </sheetViews>
  <sheetFormatPr defaultRowHeight="15" x14ac:dyDescent="0.25"/>
  <cols>
    <col min="1" max="1" width="13.7109375" customWidth="1"/>
    <col min="16" max="16" width="19" customWidth="1"/>
  </cols>
  <sheetData>
    <row r="1" spans="1:16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</row>
    <row r="2" spans="1:16" x14ac:dyDescent="0.25">
      <c r="A2" s="15">
        <v>45689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>
        <f>SUM(Table146910[[#This Row],[tank_a1]:[tank_b7]])</f>
        <v>0</v>
      </c>
    </row>
    <row r="3" spans="1:16" x14ac:dyDescent="0.25">
      <c r="A3" s="15">
        <v>45690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f>SUM(Table146910[[#This Row],[tank_a1]:[tank_b7]])</f>
        <v>0</v>
      </c>
    </row>
    <row r="4" spans="1:16" x14ac:dyDescent="0.25">
      <c r="A4" s="15">
        <v>45691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f>SUM(Table146910[[#This Row],[tank_a1]:[tank_b7]])</f>
        <v>0</v>
      </c>
    </row>
    <row r="5" spans="1:16" x14ac:dyDescent="0.25">
      <c r="A5" s="15">
        <v>45692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f>SUM(Table146910[[#This Row],[tank_a1]:[tank_b7]])</f>
        <v>0</v>
      </c>
    </row>
    <row r="6" spans="1:16" x14ac:dyDescent="0.25">
      <c r="A6" s="15">
        <v>45693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f>SUM(Table146910[[#This Row],[tank_a1]:[tank_b7]])</f>
        <v>0</v>
      </c>
    </row>
    <row r="7" spans="1:16" x14ac:dyDescent="0.25">
      <c r="A7" s="15">
        <v>45694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f>SUM(Table146910[[#This Row],[tank_a1]:[tank_b7]])</f>
        <v>0</v>
      </c>
    </row>
    <row r="8" spans="1:16" x14ac:dyDescent="0.25">
      <c r="A8" s="15">
        <v>45695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f>SUM(Table146910[[#This Row],[tank_a1]:[tank_b7]])</f>
        <v>0</v>
      </c>
    </row>
    <row r="9" spans="1:16" x14ac:dyDescent="0.25">
      <c r="A9" s="15">
        <v>45696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f>SUM(Table146910[[#This Row],[tank_a1]:[tank_b7]])</f>
        <v>0</v>
      </c>
    </row>
    <row r="10" spans="1:16" x14ac:dyDescent="0.25">
      <c r="A10" s="15">
        <v>45697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f>SUM(Table146910[[#This Row],[tank_a1]:[tank_b7]])</f>
        <v>0</v>
      </c>
    </row>
    <row r="11" spans="1:16" x14ac:dyDescent="0.25">
      <c r="A11" s="15">
        <v>45698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f>SUM(Table146910[[#This Row],[tank_a1]:[tank_b7]])</f>
        <v>0</v>
      </c>
    </row>
    <row r="12" spans="1:16" x14ac:dyDescent="0.25">
      <c r="A12" s="15">
        <v>45699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f>SUM(Table146910[[#This Row],[tank_a1]:[tank_b7]])</f>
        <v>0</v>
      </c>
    </row>
    <row r="13" spans="1:16" x14ac:dyDescent="0.25">
      <c r="A13" s="15">
        <v>45700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f>SUM(Table146910[[#This Row],[tank_a1]:[tank_b7]])</f>
        <v>0</v>
      </c>
    </row>
    <row r="14" spans="1:16" x14ac:dyDescent="0.25">
      <c r="A14" s="15">
        <v>45701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f>SUM(Table146910[[#This Row],[tank_a1]:[tank_b7]])</f>
        <v>0</v>
      </c>
    </row>
    <row r="15" spans="1:16" x14ac:dyDescent="0.25">
      <c r="A15" s="15">
        <v>45702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f>SUM(Table146910[[#This Row],[tank_a1]:[tank_b7]])</f>
        <v>0</v>
      </c>
    </row>
    <row r="16" spans="1:16" x14ac:dyDescent="0.25">
      <c r="A16" s="15">
        <v>45703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2">
        <f>SUM(Table146910[[#This Row],[tank_a1]:[tank_b7]])</f>
        <v>0</v>
      </c>
    </row>
    <row r="17" spans="1:16" ht="18.75" x14ac:dyDescent="0.25">
      <c r="A17" s="15">
        <v>45704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2">
        <f>SUM(Table146910[[#This Row],[tank_a1]:[tank_b7]])</f>
        <v>0</v>
      </c>
    </row>
    <row r="18" spans="1:16" x14ac:dyDescent="0.25">
      <c r="A18" s="15">
        <v>45705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f>SUM(Table146910[[#This Row],[tank_a1]:[tank_b7]])</f>
        <v>0</v>
      </c>
    </row>
    <row r="19" spans="1:16" x14ac:dyDescent="0.25">
      <c r="A19" s="15">
        <v>45706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f>SUM(Table146910[[#This Row],[tank_a1]:[tank_b7]])</f>
        <v>0</v>
      </c>
    </row>
    <row r="20" spans="1:16" x14ac:dyDescent="0.25">
      <c r="A20" s="15">
        <v>45707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f>SUM(Table146910[[#This Row],[tank_a1]:[tank_b7]])</f>
        <v>0</v>
      </c>
    </row>
    <row r="21" spans="1:16" x14ac:dyDescent="0.25">
      <c r="A21" s="15">
        <v>45708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f>SUM(Table146910[[#This Row],[tank_a1]:[tank_b7]])</f>
        <v>0</v>
      </c>
    </row>
    <row r="22" spans="1:16" x14ac:dyDescent="0.25">
      <c r="A22" s="15">
        <v>45709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f>SUM(Table146910[[#This Row],[tank_a1]:[tank_b7]])</f>
        <v>0</v>
      </c>
    </row>
    <row r="23" spans="1:16" x14ac:dyDescent="0.25">
      <c r="A23" s="15">
        <v>45710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f>SUM(Table146910[[#This Row],[tank_a1]:[tank_b7]])</f>
        <v>0</v>
      </c>
    </row>
    <row r="24" spans="1:16" x14ac:dyDescent="0.25">
      <c r="A24" s="15">
        <v>45711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f>SUM(Table146910[[#This Row],[tank_a1]:[tank_b7]])</f>
        <v>0</v>
      </c>
    </row>
    <row r="25" spans="1:16" x14ac:dyDescent="0.25">
      <c r="A25" s="15">
        <v>45712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f>SUM(Table146910[[#This Row],[tank_a1]:[tank_b7]])</f>
        <v>0</v>
      </c>
    </row>
    <row r="26" spans="1:16" x14ac:dyDescent="0.25">
      <c r="A26" s="15">
        <v>45713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f>SUM(Table146910[[#This Row],[tank_a1]:[tank_b7]])</f>
        <v>0</v>
      </c>
    </row>
    <row r="27" spans="1:16" x14ac:dyDescent="0.25">
      <c r="A27" s="15">
        <v>45714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f>SUM(Table146910[[#This Row],[tank_a1]:[tank_b7]])</f>
        <v>0</v>
      </c>
    </row>
    <row r="28" spans="1:16" x14ac:dyDescent="0.25">
      <c r="A28" s="15">
        <v>45715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f>SUM(Table146910[[#This Row],[tank_a1]:[tank_b7]])</f>
        <v>0</v>
      </c>
    </row>
    <row r="29" spans="1:16" x14ac:dyDescent="0.25">
      <c r="A29" s="15">
        <v>45716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f>SUM(Table146910[[#This Row],[tank_a1]:[tank_b7]])</f>
        <v>0</v>
      </c>
    </row>
    <row r="30" spans="1:16" x14ac:dyDescent="0.25">
      <c r="A30" s="2" t="s">
        <v>2</v>
      </c>
      <c r="B30" s="2">
        <f>SUBTOTAL(109,Table146910[tank_a1])</f>
        <v>0</v>
      </c>
      <c r="C30" s="2">
        <f>SUBTOTAL(109,Table146910[tank_a2])</f>
        <v>0</v>
      </c>
      <c r="D30" s="2">
        <f>SUBTOTAL(109,Table146910[tank_a3])</f>
        <v>0</v>
      </c>
      <c r="E30" s="2">
        <f>SUBTOTAL(109,Table146910[tank_a4])</f>
        <v>0</v>
      </c>
      <c r="F30" s="2">
        <f>SUBTOTAL(109,Table146910[tank_a5])</f>
        <v>0</v>
      </c>
      <c r="G30" s="2">
        <f>SUBTOTAL(109,Table146910[tank_a6])</f>
        <v>0</v>
      </c>
      <c r="H30" s="2">
        <f>SUBTOTAL(109,Table146910[tank_a7])</f>
        <v>0</v>
      </c>
      <c r="I30" s="2">
        <f>SUBTOTAL(109,Table146910[tank_b1])</f>
        <v>0</v>
      </c>
      <c r="J30" s="2">
        <f>SUBTOTAL(109,Table146910[tank_b2])</f>
        <v>0</v>
      </c>
      <c r="K30" s="2">
        <f>SUBTOTAL(109,Table146910[tank_b3])</f>
        <v>0</v>
      </c>
      <c r="L30" s="2">
        <f>SUBTOTAL(109,Table146910[tank_b4])</f>
        <v>0</v>
      </c>
      <c r="M30" s="2">
        <f>SUBTOTAL(109,Table146910[tank_b5])</f>
        <v>0</v>
      </c>
      <c r="N30" s="2">
        <f>SUBTOTAL(109,Table146910[tank_b6])</f>
        <v>0</v>
      </c>
      <c r="O30" s="2">
        <f>SUBTOTAL(109,Table146910[tank_b7])</f>
        <v>0</v>
      </c>
      <c r="P30" s="2">
        <f>SUBTOTAL(109,Table146910[daily_total])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TOTAL_YEAR </vt:lpstr>
      <vt:lpstr>TOTAL_TANKS</vt:lpstr>
      <vt:lpstr>OCT_2025</vt:lpstr>
      <vt:lpstr>NOV_2025</vt:lpstr>
      <vt:lpstr>DEC_2025</vt:lpstr>
      <vt:lpstr>JAN_2026</vt:lpstr>
      <vt:lpstr>FEB_2026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Z</cp:lastModifiedBy>
  <cp:lastPrinted>2025-10-30T11:03:07Z</cp:lastPrinted>
  <dcterms:created xsi:type="dcterms:W3CDTF">2025-10-14T11:34:30Z</dcterms:created>
  <dcterms:modified xsi:type="dcterms:W3CDTF">2026-01-02T07:30:25Z</dcterms:modified>
</cp:coreProperties>
</file>