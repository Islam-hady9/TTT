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F:\NAPCO AQUA PRODUCTION 2026\تقارير قطاع الانتاج للمدير العام\"/>
    </mc:Choice>
  </mc:AlternateContent>
  <xr:revisionPtr revIDLastSave="0" documentId="8_{F8BDB72A-9987-9B46-8FAD-1ED14207252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قطاع التحضين 2026" sheetId="3" r:id="rId1"/>
    <sheet name="قطاع التربية2026" sheetId="2" r:id="rId2"/>
    <sheet name="قطاع التسمين 2026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F4" i="3"/>
  <c r="F5" i="3"/>
  <c r="F6" i="3"/>
  <c r="F7" i="3"/>
  <c r="F8" i="3"/>
  <c r="F9" i="3"/>
  <c r="F10" i="3"/>
  <c r="F11" i="3"/>
  <c r="F12" i="3"/>
  <c r="F3" i="3"/>
  <c r="H24" i="1"/>
  <c r="H12" i="1"/>
  <c r="D12" i="1"/>
  <c r="H11" i="1"/>
  <c r="D4" i="1"/>
  <c r="D5" i="1"/>
  <c r="D7" i="1"/>
  <c r="D8" i="1"/>
  <c r="D9" i="1"/>
  <c r="D10" i="1"/>
  <c r="D11" i="1"/>
  <c r="D5" i="2"/>
  <c r="F5" i="2"/>
  <c r="H5" i="2"/>
  <c r="D6" i="2"/>
  <c r="F6" i="2"/>
  <c r="H6" i="2"/>
  <c r="D7" i="2"/>
  <c r="F7" i="2"/>
  <c r="H7" i="2"/>
  <c r="D8" i="2"/>
  <c r="F8" i="2"/>
  <c r="H8" i="2"/>
  <c r="D9" i="2"/>
  <c r="F9" i="2"/>
  <c r="H9" i="2"/>
  <c r="D10" i="2"/>
  <c r="F10" i="2"/>
  <c r="H10" i="2"/>
  <c r="D11" i="2"/>
  <c r="F11" i="2"/>
  <c r="H11" i="2"/>
  <c r="D12" i="2"/>
  <c r="F12" i="2"/>
  <c r="H12" i="2"/>
  <c r="D13" i="2"/>
  <c r="F13" i="2"/>
  <c r="H13" i="2"/>
  <c r="D14" i="2"/>
  <c r="F14" i="2"/>
  <c r="H14" i="2"/>
  <c r="D15" i="2"/>
  <c r="F15" i="2"/>
  <c r="H15" i="2"/>
  <c r="D16" i="2"/>
  <c r="F16" i="2"/>
  <c r="H16" i="2"/>
  <c r="D17" i="2"/>
  <c r="F17" i="2"/>
  <c r="H17" i="2"/>
  <c r="D4" i="2"/>
  <c r="F4" i="2"/>
  <c r="H4" i="2"/>
  <c r="H4" i="1"/>
  <c r="H5" i="1"/>
  <c r="H6" i="1"/>
  <c r="H7" i="1"/>
  <c r="H8" i="1"/>
  <c r="H9" i="1"/>
  <c r="H10" i="1"/>
  <c r="D15" i="1"/>
  <c r="D16" i="1"/>
  <c r="H16" i="1"/>
  <c r="H17" i="1"/>
  <c r="D18" i="1"/>
  <c r="H18" i="1"/>
  <c r="D19" i="1"/>
  <c r="H19" i="1"/>
  <c r="D20" i="1"/>
  <c r="H20" i="1"/>
  <c r="D21" i="1"/>
  <c r="H21" i="1"/>
  <c r="D22" i="1"/>
  <c r="H22" i="1"/>
  <c r="D23" i="1"/>
  <c r="H23" i="1"/>
  <c r="D3" i="1"/>
  <c r="H3" i="1"/>
  <c r="H15" i="1"/>
</calcChain>
</file>

<file path=xl/sharedStrings.xml><?xml version="1.0" encoding="utf-8"?>
<sst xmlns="http://schemas.openxmlformats.org/spreadsheetml/2006/main" count="143" uniqueCount="68">
  <si>
    <t>الحوض</t>
  </si>
  <si>
    <t>متوسط وزن السمكة من اخر عينة</t>
  </si>
  <si>
    <t xml:space="preserve">صافى الوزن المكتسب للسمكة </t>
  </si>
  <si>
    <t>نسبة البروتين في العلف</t>
  </si>
  <si>
    <t>حجم العلف (ملي)</t>
  </si>
  <si>
    <t xml:space="preserve">معدل التحويل الغذائى FCR </t>
  </si>
  <si>
    <t>عدد الأسماك فى الحوض</t>
  </si>
  <si>
    <t xml:space="preserve">نوع العلف </t>
  </si>
  <si>
    <t>كمية العلف المأكول بالجرام</t>
  </si>
  <si>
    <t>1_2</t>
  </si>
  <si>
    <t>الكتلة الحية المكتسبه بالحوض بالجرام</t>
  </si>
  <si>
    <t>الملاحظات</t>
  </si>
  <si>
    <t>متوسط وزن السمكة الحالى</t>
  </si>
  <si>
    <t>مكة</t>
  </si>
  <si>
    <t>المرام</t>
  </si>
  <si>
    <t>GRW-A-01</t>
  </si>
  <si>
    <t>GRW-A-02</t>
  </si>
  <si>
    <t>GRW-A-03</t>
  </si>
  <si>
    <t>GRW-A-04</t>
  </si>
  <si>
    <t>GRW-A-05</t>
  </si>
  <si>
    <t>GRW-A-06</t>
  </si>
  <si>
    <t>GRW-A-07</t>
  </si>
  <si>
    <t>GRW-A-08</t>
  </si>
  <si>
    <t>GRW-A-09</t>
  </si>
  <si>
    <t>GRW-A-10</t>
  </si>
  <si>
    <t>GRW-A-11</t>
  </si>
  <si>
    <t>GRW-A-12</t>
  </si>
  <si>
    <t>GRW-B-01</t>
  </si>
  <si>
    <t>GRW-B-02</t>
  </si>
  <si>
    <t>GRW-B-03</t>
  </si>
  <si>
    <t>GRW-B-04</t>
  </si>
  <si>
    <t>GRW-B-05</t>
  </si>
  <si>
    <t>GRW-B-06</t>
  </si>
  <si>
    <t>GRW-B-07</t>
  </si>
  <si>
    <t>GRW-B-08</t>
  </si>
  <si>
    <t>GRW-B-09</t>
  </si>
  <si>
    <t>GRW-B-10</t>
  </si>
  <si>
    <t>GRW-B-11</t>
  </si>
  <si>
    <t>GRW-B-12</t>
  </si>
  <si>
    <t xml:space="preserve">قطاع التسمين </t>
  </si>
  <si>
    <t xml:space="preserve">قطاع التربية </t>
  </si>
  <si>
    <t>NUR-A-01</t>
  </si>
  <si>
    <t>NUR-A-02</t>
  </si>
  <si>
    <t>NUR-A-03</t>
  </si>
  <si>
    <t>NUR-A-04</t>
  </si>
  <si>
    <t>NUR-A-05</t>
  </si>
  <si>
    <t>NUR-B-01</t>
  </si>
  <si>
    <t>NUR-B-02</t>
  </si>
  <si>
    <t>NUR-B-03</t>
  </si>
  <si>
    <t>NUR-B-04</t>
  </si>
  <si>
    <t>NUR-B-05</t>
  </si>
  <si>
    <t>بداية التسكين يوم 30/3/2026</t>
  </si>
  <si>
    <t>PGRW-A-04</t>
  </si>
  <si>
    <t>PGRW-A-05</t>
  </si>
  <si>
    <t>PGRW-A-06</t>
  </si>
  <si>
    <t>PGRW-A-07</t>
  </si>
  <si>
    <t>PGRW-B-01</t>
  </si>
  <si>
    <t>PGRW-B-02</t>
  </si>
  <si>
    <t>PGRW-B-03</t>
  </si>
  <si>
    <t>PGRW-B-04</t>
  </si>
  <si>
    <t>PGRW-B-05</t>
  </si>
  <si>
    <t>PGRW-B-06</t>
  </si>
  <si>
    <t>PGRW-B-07</t>
  </si>
  <si>
    <t>PGRW-A-01</t>
  </si>
  <si>
    <t>PGRW-A-02</t>
  </si>
  <si>
    <t>PGRW-A-03</t>
  </si>
  <si>
    <t>يلاحظ أغلب الأحواض بها تفريخ طبيعى  وزيادة عدد الأحواض الصغيره (fry)</t>
  </si>
  <si>
    <t xml:space="preserve">قطاع التحضين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</si>
</sst>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Arial"/>
      <family val="2"/>
      <scheme val="minor"/>
    </font>
    <font>
      <b/>
      <sz val="14"/>
      <name val="Calibri"/>
      <family val="2"/>
    </font>
    <font>
      <b/>
      <sz val="14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6"/>
      <color rgb="FF002060"/>
      <name val="Calibri"/>
      <family val="2"/>
    </font>
    <font>
      <sz val="12"/>
      <color theme="1"/>
      <name val="Arial"/>
      <family val="2"/>
      <charset val="178"/>
      <scheme val="minor"/>
    </font>
    <font>
      <sz val="8"/>
      <name val="Arial"/>
      <family val="2"/>
      <scheme val="minor"/>
    </font>
    <font>
      <b/>
      <sz val="18"/>
      <color rgb="FF0070C0"/>
      <name val="Calibri"/>
      <family val="2"/>
    </font>
    <font>
      <b/>
      <sz val="16"/>
      <name val="Calibri"/>
      <family val="2"/>
    </font>
    <font>
      <b/>
      <sz val="14"/>
      <color rgb="FF0070C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4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/>
    <xf numFmtId="0" fontId="1" fillId="0" borderId="2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/>
    <xf numFmtId="164" fontId="4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/>
    <xf numFmtId="0" fontId="2" fillId="0" borderId="1" xfId="0" applyFont="1" applyBorder="1" applyAlignment="1">
      <alignment vertical="center"/>
    </xf>
    <xf numFmtId="0" fontId="1" fillId="6" borderId="2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readingOrder="2"/>
    </xf>
    <xf numFmtId="0" fontId="5" fillId="9" borderId="1" xfId="0" applyFont="1" applyFill="1" applyBorder="1" applyAlignment="1">
      <alignment horizontal="center" vertical="center" readingOrder="2"/>
    </xf>
    <xf numFmtId="0" fontId="5" fillId="2" borderId="1" xfId="0" applyFont="1" applyFill="1" applyBorder="1" applyAlignment="1">
      <alignment horizontal="center" vertical="center" readingOrder="2"/>
    </xf>
    <xf numFmtId="0" fontId="5" fillId="2" borderId="3" xfId="0" applyFont="1" applyFill="1" applyBorder="1" applyAlignment="1">
      <alignment horizontal="center" vertical="center" readingOrder="2"/>
    </xf>
    <xf numFmtId="1" fontId="1" fillId="0" borderId="1" xfId="0" applyNumberFormat="1" applyFont="1" applyBorder="1" applyAlignment="1">
      <alignment horizontal="center" vertical="center" wrapText="1"/>
    </xf>
    <xf numFmtId="164" fontId="1" fillId="5" borderId="1" xfId="0" applyNumberFormat="1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0" fillId="0" borderId="1" xfId="0" applyBorder="1"/>
    <xf numFmtId="0" fontId="8" fillId="0" borderId="1" xfId="0" applyFont="1" applyBorder="1" applyAlignment="1">
      <alignment horizontal="center" vertical="center" readingOrder="2"/>
    </xf>
    <xf numFmtId="0" fontId="9" fillId="0" borderId="1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1" fontId="1" fillId="5" borderId="1" xfId="0" applyNumberFormat="1" applyFont="1" applyFill="1" applyBorder="1" applyAlignment="1">
      <alignment horizontal="center" vertical="center" wrapText="1"/>
    </xf>
    <xf numFmtId="2" fontId="1" fillId="5" borderId="1" xfId="0" applyNumberFormat="1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readingOrder="2"/>
    </xf>
    <xf numFmtId="0" fontId="10" fillId="13" borderId="1" xfId="0" applyFont="1" applyFill="1" applyBorder="1" applyAlignment="1">
      <alignment horizontal="center" vertical="center" readingOrder="2"/>
    </xf>
  </cellXfs>
  <cellStyles count="2">
    <cellStyle name="Normal 2" xfId="1" xr:uid="{6415F84A-07AB-4F07-831B-3CC1F707C634}"/>
    <cellStyle name="عادي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25F32-8DB8-420C-8EF1-9A862916DA3F}">
  <dimension ref="A1:L12"/>
  <sheetViews>
    <sheetView rightToLeft="1" zoomScaleNormal="100" workbookViewId="0">
      <selection activeCell="F2" sqref="F2"/>
    </sheetView>
  </sheetViews>
  <sheetFormatPr defaultRowHeight="13.5" x14ac:dyDescent="0.15"/>
  <cols>
    <col min="1" max="1" width="19.734375" bestFit="1" customWidth="1"/>
    <col min="2" max="2" width="17.28515625" customWidth="1"/>
    <col min="3" max="3" width="14.46484375" customWidth="1"/>
    <col min="4" max="4" width="15.8125" customWidth="1"/>
    <col min="5" max="5" width="21.94140625" bestFit="1" customWidth="1"/>
    <col min="6" max="6" width="35.4296875" bestFit="1" customWidth="1"/>
    <col min="7" max="7" width="25.25390625" bestFit="1" customWidth="1"/>
    <col min="8" max="8" width="8.578125" bestFit="1" customWidth="1"/>
    <col min="10" max="10" width="8.578125" bestFit="1" customWidth="1"/>
    <col min="11" max="11" width="6.37109375" bestFit="1" customWidth="1"/>
    <col min="12" max="12" width="17.0390625" bestFit="1" customWidth="1"/>
  </cols>
  <sheetData>
    <row r="1" spans="1:12" ht="23.25" thickBot="1" x14ac:dyDescent="0.2">
      <c r="A1" s="24">
        <v>46026</v>
      </c>
      <c r="F1" s="16" t="s">
        <v>67</v>
      </c>
      <c r="G1" s="16">
        <v>2026</v>
      </c>
    </row>
    <row r="2" spans="1:12" ht="69" x14ac:dyDescent="0.25">
      <c r="A2" s="23" t="s">
        <v>0</v>
      </c>
      <c r="B2" s="25" t="s">
        <v>1</v>
      </c>
      <c r="C2" s="6" t="s">
        <v>12</v>
      </c>
      <c r="D2" s="7" t="s">
        <v>2</v>
      </c>
      <c r="E2" s="27" t="s">
        <v>6</v>
      </c>
      <c r="F2" s="14" t="s">
        <v>10</v>
      </c>
      <c r="G2" s="14" t="s">
        <v>8</v>
      </c>
      <c r="H2" s="26" t="s">
        <v>5</v>
      </c>
      <c r="I2" s="5" t="s">
        <v>4</v>
      </c>
      <c r="J2" s="5" t="s">
        <v>3</v>
      </c>
      <c r="K2" s="28" t="s">
        <v>7</v>
      </c>
      <c r="L2" s="1" t="s">
        <v>11</v>
      </c>
    </row>
    <row r="3" spans="1:12" ht="35.25" x14ac:dyDescent="0.25">
      <c r="A3" s="38" t="s">
        <v>41</v>
      </c>
      <c r="B3" s="1">
        <v>0</v>
      </c>
      <c r="C3" s="3">
        <v>0.6</v>
      </c>
      <c r="D3" s="3">
        <v>0.6</v>
      </c>
      <c r="E3" s="1">
        <v>24500</v>
      </c>
      <c r="F3" s="21">
        <f>D3*E3</f>
        <v>14700</v>
      </c>
      <c r="G3" s="1"/>
      <c r="H3" s="22"/>
      <c r="I3" s="1">
        <v>0.9</v>
      </c>
      <c r="J3" s="8"/>
      <c r="K3" s="21" t="s">
        <v>14</v>
      </c>
      <c r="L3" s="21" t="s">
        <v>51</v>
      </c>
    </row>
    <row r="4" spans="1:12" ht="35.25" x14ac:dyDescent="0.25">
      <c r="A4" s="38" t="s">
        <v>42</v>
      </c>
      <c r="B4" s="1">
        <v>0</v>
      </c>
      <c r="C4" s="3">
        <v>0.6</v>
      </c>
      <c r="D4" s="3">
        <v>0.6</v>
      </c>
      <c r="E4" s="1">
        <v>24500</v>
      </c>
      <c r="F4" s="21">
        <f t="shared" ref="F4:F12" si="0">D4*E4</f>
        <v>14700</v>
      </c>
      <c r="G4" s="1"/>
      <c r="H4" s="22"/>
      <c r="I4" s="1">
        <v>0.9</v>
      </c>
      <c r="J4" s="8"/>
      <c r="K4" s="21" t="s">
        <v>14</v>
      </c>
      <c r="L4" s="21" t="s">
        <v>51</v>
      </c>
    </row>
    <row r="5" spans="1:12" ht="35.25" x14ac:dyDescent="0.25">
      <c r="A5" s="38" t="s">
        <v>43</v>
      </c>
      <c r="B5" s="1">
        <v>0</v>
      </c>
      <c r="C5" s="3">
        <v>0.6</v>
      </c>
      <c r="D5" s="3">
        <v>0.6</v>
      </c>
      <c r="E5" s="1">
        <v>24500</v>
      </c>
      <c r="F5" s="21">
        <f t="shared" si="0"/>
        <v>14700</v>
      </c>
      <c r="G5" s="1"/>
      <c r="H5" s="3"/>
      <c r="I5" s="1">
        <v>0.9</v>
      </c>
      <c r="J5" s="8"/>
      <c r="K5" s="21" t="s">
        <v>14</v>
      </c>
      <c r="L5" s="21" t="s">
        <v>51</v>
      </c>
    </row>
    <row r="6" spans="1:12" ht="35.25" x14ac:dyDescent="0.25">
      <c r="A6" s="38" t="s">
        <v>44</v>
      </c>
      <c r="B6" s="1">
        <v>0</v>
      </c>
      <c r="C6" s="3">
        <v>0.6</v>
      </c>
      <c r="D6" s="3">
        <v>0.6</v>
      </c>
      <c r="E6" s="1">
        <v>24500</v>
      </c>
      <c r="F6" s="21">
        <f t="shared" si="0"/>
        <v>14700</v>
      </c>
      <c r="G6" s="1"/>
      <c r="H6" s="3"/>
      <c r="I6" s="1">
        <v>0.9</v>
      </c>
      <c r="J6" s="9"/>
      <c r="K6" s="21" t="s">
        <v>14</v>
      </c>
      <c r="L6" s="21" t="s">
        <v>51</v>
      </c>
    </row>
    <row r="7" spans="1:12" ht="35.25" x14ac:dyDescent="0.25">
      <c r="A7" s="38" t="s">
        <v>45</v>
      </c>
      <c r="B7" s="1">
        <v>0</v>
      </c>
      <c r="C7" s="3">
        <v>0.6</v>
      </c>
      <c r="D7" s="3">
        <v>0.6</v>
      </c>
      <c r="E7" s="1">
        <v>24500</v>
      </c>
      <c r="F7" s="21">
        <f t="shared" si="0"/>
        <v>14700</v>
      </c>
      <c r="G7" s="1"/>
      <c r="H7" s="3"/>
      <c r="I7" s="1">
        <v>0.9</v>
      </c>
      <c r="J7" s="9"/>
      <c r="K7" s="21" t="s">
        <v>14</v>
      </c>
      <c r="L7" s="21" t="s">
        <v>51</v>
      </c>
    </row>
    <row r="8" spans="1:12" ht="35.25" x14ac:dyDescent="0.25">
      <c r="A8" s="39" t="s">
        <v>46</v>
      </c>
      <c r="B8" s="1">
        <v>0</v>
      </c>
      <c r="C8" s="3">
        <v>0.6</v>
      </c>
      <c r="D8" s="3">
        <v>0.6</v>
      </c>
      <c r="E8" s="1">
        <v>22500</v>
      </c>
      <c r="F8" s="21">
        <f t="shared" si="0"/>
        <v>13500</v>
      </c>
      <c r="G8" s="1"/>
      <c r="H8" s="3"/>
      <c r="I8" s="1">
        <v>0.9</v>
      </c>
      <c r="J8" s="9"/>
      <c r="K8" s="21" t="s">
        <v>14</v>
      </c>
      <c r="L8" s="21" t="s">
        <v>51</v>
      </c>
    </row>
    <row r="9" spans="1:12" ht="35.25" x14ac:dyDescent="0.25">
      <c r="A9" s="39" t="s">
        <v>47</v>
      </c>
      <c r="B9" s="1">
        <v>0</v>
      </c>
      <c r="C9" s="3">
        <v>0.6</v>
      </c>
      <c r="D9" s="3">
        <v>0.6</v>
      </c>
      <c r="E9" s="1">
        <v>23000</v>
      </c>
      <c r="F9" s="21">
        <f t="shared" si="0"/>
        <v>13800</v>
      </c>
      <c r="G9" s="1"/>
      <c r="H9" s="3"/>
      <c r="I9" s="1">
        <v>0.9</v>
      </c>
      <c r="J9" s="9"/>
      <c r="K9" s="21" t="s">
        <v>14</v>
      </c>
      <c r="L9" s="21" t="s">
        <v>51</v>
      </c>
    </row>
    <row r="10" spans="1:12" ht="35.25" x14ac:dyDescent="0.25">
      <c r="A10" s="39" t="s">
        <v>48</v>
      </c>
      <c r="B10" s="1">
        <v>0</v>
      </c>
      <c r="C10" s="3">
        <v>0.6</v>
      </c>
      <c r="D10" s="3">
        <v>0.6</v>
      </c>
      <c r="E10" s="1">
        <v>23000</v>
      </c>
      <c r="F10" s="21">
        <f t="shared" si="0"/>
        <v>13800</v>
      </c>
      <c r="G10" s="1"/>
      <c r="H10" s="3"/>
      <c r="I10" s="1">
        <v>0.9</v>
      </c>
      <c r="J10" s="9"/>
      <c r="K10" s="21" t="s">
        <v>14</v>
      </c>
      <c r="L10" s="21" t="s">
        <v>51</v>
      </c>
    </row>
    <row r="11" spans="1:12" ht="35.25" x14ac:dyDescent="0.25">
      <c r="A11" s="39" t="s">
        <v>49</v>
      </c>
      <c r="B11" s="21">
        <v>0</v>
      </c>
      <c r="C11" s="3">
        <v>0.6</v>
      </c>
      <c r="D11" s="3">
        <v>0.6</v>
      </c>
      <c r="E11" s="1">
        <v>23000</v>
      </c>
      <c r="F11" s="21">
        <f t="shared" si="0"/>
        <v>13800</v>
      </c>
      <c r="G11" s="21"/>
      <c r="H11" s="21"/>
      <c r="I11" s="1">
        <v>0.9</v>
      </c>
      <c r="J11" s="21"/>
      <c r="K11" s="21" t="s">
        <v>14</v>
      </c>
      <c r="L11" s="21" t="s">
        <v>51</v>
      </c>
    </row>
    <row r="12" spans="1:12" ht="35.25" x14ac:dyDescent="0.25">
      <c r="A12" s="39" t="s">
        <v>50</v>
      </c>
      <c r="B12" s="21">
        <v>0</v>
      </c>
      <c r="C12" s="3">
        <v>0.6</v>
      </c>
      <c r="D12" s="3">
        <v>0.6</v>
      </c>
      <c r="E12" s="1">
        <v>24500</v>
      </c>
      <c r="F12" s="21">
        <f t="shared" si="0"/>
        <v>14700</v>
      </c>
      <c r="G12" s="21"/>
      <c r="H12" s="21"/>
      <c r="I12" s="1">
        <v>0.9</v>
      </c>
      <c r="J12" s="21"/>
      <c r="K12" s="21" t="s">
        <v>14</v>
      </c>
      <c r="L12" s="21" t="s">
        <v>51</v>
      </c>
    </row>
  </sheetData>
  <phoneticPr fontId="7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FE8C9-5CA6-4DD4-8030-2FC31BF38845}">
  <dimension ref="A2:L18"/>
  <sheetViews>
    <sheetView rightToLeft="1" topLeftCell="B1" zoomScale="81" zoomScaleNormal="81" workbookViewId="0">
      <selection activeCell="L18" sqref="L18"/>
    </sheetView>
  </sheetViews>
  <sheetFormatPr defaultRowHeight="13.5" x14ac:dyDescent="0.15"/>
  <cols>
    <col min="1" max="1" width="23.16796875" bestFit="1" customWidth="1"/>
    <col min="2" max="2" width="31.99609375" customWidth="1"/>
    <col min="3" max="3" width="25.98828125" bestFit="1" customWidth="1"/>
    <col min="4" max="4" width="26.84765625" bestFit="1" customWidth="1"/>
    <col min="5" max="5" width="22.43359375" bestFit="1" customWidth="1"/>
    <col min="6" max="6" width="35.4296875" bestFit="1" customWidth="1"/>
    <col min="7" max="7" width="26.35546875" bestFit="1" customWidth="1"/>
    <col min="8" max="8" width="21.328125" bestFit="1" customWidth="1"/>
    <col min="9" max="9" width="17.0390625" bestFit="1" customWidth="1"/>
    <col min="10" max="10" width="12.50390625" bestFit="1" customWidth="1"/>
    <col min="11" max="11" width="10.171875" bestFit="1" customWidth="1"/>
    <col min="12" max="12" width="79.5625" bestFit="1" customWidth="1"/>
  </cols>
  <sheetData>
    <row r="2" spans="1:12" ht="23.25" thickBot="1" x14ac:dyDescent="0.2">
      <c r="A2" s="24">
        <v>46026</v>
      </c>
      <c r="F2" s="16" t="s">
        <v>40</v>
      </c>
    </row>
    <row r="3" spans="1:12" ht="18" customHeight="1" x14ac:dyDescent="0.25">
      <c r="A3" s="23" t="s">
        <v>0</v>
      </c>
      <c r="B3" s="25" t="s">
        <v>1</v>
      </c>
      <c r="C3" s="6" t="s">
        <v>12</v>
      </c>
      <c r="D3" s="7" t="s">
        <v>2</v>
      </c>
      <c r="E3" s="4" t="s">
        <v>6</v>
      </c>
      <c r="F3" s="14" t="s">
        <v>10</v>
      </c>
      <c r="G3" s="14" t="s">
        <v>8</v>
      </c>
      <c r="H3" s="26" t="s">
        <v>5</v>
      </c>
      <c r="I3" s="5" t="s">
        <v>4</v>
      </c>
      <c r="J3" s="5" t="s">
        <v>3</v>
      </c>
      <c r="K3" s="15" t="s">
        <v>7</v>
      </c>
      <c r="L3" s="5" t="s">
        <v>11</v>
      </c>
    </row>
    <row r="4" spans="1:12" ht="23.25" x14ac:dyDescent="0.3">
      <c r="A4" s="30" t="s">
        <v>63</v>
      </c>
      <c r="B4" s="31">
        <v>4</v>
      </c>
      <c r="C4" s="34">
        <v>7.1942446043165464</v>
      </c>
      <c r="D4" s="21">
        <f>C4-B4</f>
        <v>3.1942446043165464</v>
      </c>
      <c r="E4" s="1">
        <v>14965</v>
      </c>
      <c r="F4" s="21">
        <f>D4*E4</f>
        <v>47801.870503597114</v>
      </c>
      <c r="G4" s="1">
        <v>8000</v>
      </c>
      <c r="H4" s="3">
        <f>G4/F4</f>
        <v>0.16735746772499197</v>
      </c>
      <c r="I4" s="1">
        <v>1</v>
      </c>
      <c r="J4" s="21">
        <v>40</v>
      </c>
      <c r="K4" s="1" t="s">
        <v>14</v>
      </c>
      <c r="L4" s="10"/>
    </row>
    <row r="5" spans="1:12" ht="23.25" x14ac:dyDescent="0.3">
      <c r="A5" s="30" t="s">
        <v>64</v>
      </c>
      <c r="B5" s="32">
        <v>45</v>
      </c>
      <c r="C5" s="34">
        <v>76.875</v>
      </c>
      <c r="D5" s="21">
        <f t="shared" ref="D5:D17" si="0">C5-B5</f>
        <v>31.875</v>
      </c>
      <c r="E5" s="1">
        <v>10563</v>
      </c>
      <c r="F5" s="21">
        <f t="shared" ref="F5:F17" si="1">D5*E5</f>
        <v>336695.625</v>
      </c>
      <c r="G5" s="1">
        <v>417000</v>
      </c>
      <c r="H5" s="3">
        <f t="shared" ref="H5:H17" si="2">G5/F5</f>
        <v>1.2385073313619683</v>
      </c>
      <c r="I5" s="1">
        <v>2</v>
      </c>
      <c r="J5" s="21">
        <v>36</v>
      </c>
      <c r="K5" s="1" t="s">
        <v>14</v>
      </c>
      <c r="L5" s="10"/>
    </row>
    <row r="6" spans="1:12" ht="23.25" x14ac:dyDescent="0.3">
      <c r="A6" s="30" t="s">
        <v>65</v>
      </c>
      <c r="B6" s="32">
        <v>16</v>
      </c>
      <c r="C6" s="34">
        <v>51.438848920863308</v>
      </c>
      <c r="D6" s="21">
        <f t="shared" si="0"/>
        <v>35.438848920863308</v>
      </c>
      <c r="E6" s="1">
        <v>5210</v>
      </c>
      <c r="F6" s="21">
        <f t="shared" si="1"/>
        <v>184636.40287769784</v>
      </c>
      <c r="G6" s="1">
        <v>156000</v>
      </c>
      <c r="H6" s="3">
        <f t="shared" si="2"/>
        <v>0.84490380861315606</v>
      </c>
      <c r="I6" s="1">
        <v>1</v>
      </c>
      <c r="J6" s="21">
        <v>40</v>
      </c>
      <c r="K6" s="1" t="s">
        <v>14</v>
      </c>
      <c r="L6" s="10"/>
    </row>
    <row r="7" spans="1:12" ht="23.25" x14ac:dyDescent="0.3">
      <c r="A7" s="30" t="s">
        <v>52</v>
      </c>
      <c r="B7" s="33">
        <v>15</v>
      </c>
      <c r="C7" s="34">
        <v>41.363636363636367</v>
      </c>
      <c r="D7" s="21">
        <f t="shared" si="0"/>
        <v>26.363636363636367</v>
      </c>
      <c r="E7" s="1">
        <v>8229</v>
      </c>
      <c r="F7" s="21">
        <f t="shared" si="1"/>
        <v>216946.36363636368</v>
      </c>
      <c r="G7" s="1">
        <v>174000</v>
      </c>
      <c r="H7" s="3">
        <f t="shared" si="2"/>
        <v>0.80204156033539908</v>
      </c>
      <c r="I7" s="1">
        <v>1</v>
      </c>
      <c r="J7" s="21">
        <v>40</v>
      </c>
      <c r="K7" s="1" t="s">
        <v>14</v>
      </c>
      <c r="L7" s="10"/>
    </row>
    <row r="8" spans="1:12" ht="23.25" x14ac:dyDescent="0.3">
      <c r="A8" s="30" t="s">
        <v>53</v>
      </c>
      <c r="B8" s="33">
        <v>17</v>
      </c>
      <c r="C8" s="34">
        <v>40</v>
      </c>
      <c r="D8" s="21">
        <f t="shared" si="0"/>
        <v>23</v>
      </c>
      <c r="E8" s="1">
        <v>9047</v>
      </c>
      <c r="F8" s="21">
        <f t="shared" si="1"/>
        <v>208081</v>
      </c>
      <c r="G8" s="1">
        <v>187500</v>
      </c>
      <c r="H8" s="3">
        <f t="shared" si="2"/>
        <v>0.90109140190598858</v>
      </c>
      <c r="I8" s="1">
        <v>1</v>
      </c>
      <c r="J8" s="21">
        <v>40</v>
      </c>
      <c r="K8" s="1" t="s">
        <v>14</v>
      </c>
      <c r="L8" s="10"/>
    </row>
    <row r="9" spans="1:12" ht="23.25" x14ac:dyDescent="0.3">
      <c r="A9" s="30" t="s">
        <v>54</v>
      </c>
      <c r="B9" s="33">
        <v>19</v>
      </c>
      <c r="C9" s="34">
        <v>47.25</v>
      </c>
      <c r="D9" s="21">
        <f t="shared" si="0"/>
        <v>28.25</v>
      </c>
      <c r="E9" s="1">
        <v>9759</v>
      </c>
      <c r="F9" s="21">
        <f t="shared" si="1"/>
        <v>275691.75</v>
      </c>
      <c r="G9" s="1">
        <v>208000</v>
      </c>
      <c r="H9" s="3">
        <f t="shared" si="2"/>
        <v>0.75446581190768314</v>
      </c>
      <c r="I9" s="1">
        <v>1</v>
      </c>
      <c r="J9" s="21">
        <v>40</v>
      </c>
      <c r="K9" s="1" t="s">
        <v>14</v>
      </c>
      <c r="L9" s="10"/>
    </row>
    <row r="10" spans="1:12" ht="23.25" x14ac:dyDescent="0.3">
      <c r="A10" s="30" t="s">
        <v>55</v>
      </c>
      <c r="B10" s="31">
        <v>4</v>
      </c>
      <c r="C10" s="34">
        <v>7.2340425531914896</v>
      </c>
      <c r="D10" s="21">
        <f t="shared" si="0"/>
        <v>3.2340425531914896</v>
      </c>
      <c r="E10" s="1">
        <v>15191</v>
      </c>
      <c r="F10" s="21">
        <f t="shared" si="1"/>
        <v>49128.340425531918</v>
      </c>
      <c r="G10" s="1">
        <v>8000</v>
      </c>
      <c r="H10" s="3">
        <f t="shared" si="2"/>
        <v>0.16283879998198378</v>
      </c>
      <c r="I10" s="1">
        <v>1</v>
      </c>
      <c r="J10" s="21">
        <v>40</v>
      </c>
      <c r="K10" s="1" t="s">
        <v>14</v>
      </c>
      <c r="L10" s="10"/>
    </row>
    <row r="11" spans="1:12" ht="23.25" x14ac:dyDescent="0.3">
      <c r="A11" s="30" t="s">
        <v>56</v>
      </c>
      <c r="B11" s="31">
        <v>4</v>
      </c>
      <c r="C11" s="34">
        <v>6.8661971830985919</v>
      </c>
      <c r="D11" s="21">
        <f t="shared" si="0"/>
        <v>2.8661971830985919</v>
      </c>
      <c r="E11" s="1">
        <v>14761</v>
      </c>
      <c r="F11" s="21">
        <f t="shared" si="1"/>
        <v>42307.936619718319</v>
      </c>
      <c r="G11" s="1">
        <v>8000</v>
      </c>
      <c r="H11" s="3">
        <f t="shared" si="2"/>
        <v>0.18908981716379586</v>
      </c>
      <c r="I11" s="1">
        <v>1</v>
      </c>
      <c r="J11" s="21">
        <v>40</v>
      </c>
      <c r="K11" s="1" t="s">
        <v>14</v>
      </c>
      <c r="L11" s="10"/>
    </row>
    <row r="12" spans="1:12" ht="23.25" x14ac:dyDescent="0.3">
      <c r="A12" s="30" t="s">
        <v>57</v>
      </c>
      <c r="B12" s="31">
        <v>4</v>
      </c>
      <c r="C12" s="34">
        <v>8.2323232323232318</v>
      </c>
      <c r="D12" s="21">
        <f t="shared" si="0"/>
        <v>4.2323232323232318</v>
      </c>
      <c r="E12" s="1">
        <v>14677</v>
      </c>
      <c r="F12" s="21">
        <f t="shared" si="1"/>
        <v>62117.80808080807</v>
      </c>
      <c r="G12" s="1">
        <v>13000</v>
      </c>
      <c r="H12" s="3">
        <f t="shared" si="2"/>
        <v>0.20927976053321951</v>
      </c>
      <c r="I12" s="1">
        <v>1</v>
      </c>
      <c r="J12" s="21">
        <v>40</v>
      </c>
      <c r="K12" s="1" t="s">
        <v>14</v>
      </c>
      <c r="L12" s="1"/>
    </row>
    <row r="13" spans="1:12" ht="23.25" x14ac:dyDescent="0.3">
      <c r="A13" s="30" t="s">
        <v>58</v>
      </c>
      <c r="B13" s="31">
        <v>4</v>
      </c>
      <c r="C13" s="34">
        <v>9.25</v>
      </c>
      <c r="D13" s="21">
        <f t="shared" si="0"/>
        <v>5.25</v>
      </c>
      <c r="E13" s="1">
        <v>14633</v>
      </c>
      <c r="F13" s="21">
        <f t="shared" si="1"/>
        <v>76823.25</v>
      </c>
      <c r="G13" s="1">
        <v>13000</v>
      </c>
      <c r="H13" s="3">
        <f t="shared" si="2"/>
        <v>0.169219604742054</v>
      </c>
      <c r="I13" s="1">
        <v>1</v>
      </c>
      <c r="J13" s="21">
        <v>40</v>
      </c>
      <c r="K13" s="1" t="s">
        <v>14</v>
      </c>
      <c r="L13" s="1"/>
    </row>
    <row r="14" spans="1:12" ht="23.25" x14ac:dyDescent="0.3">
      <c r="A14" s="30" t="s">
        <v>59</v>
      </c>
      <c r="B14" s="31">
        <v>19</v>
      </c>
      <c r="C14" s="34">
        <v>68.954248366013076</v>
      </c>
      <c r="D14" s="21">
        <f t="shared" si="0"/>
        <v>49.954248366013076</v>
      </c>
      <c r="E14" s="1">
        <v>10462</v>
      </c>
      <c r="F14" s="21">
        <f t="shared" si="1"/>
        <v>522621.34640522877</v>
      </c>
      <c r="G14" s="1">
        <v>193500</v>
      </c>
      <c r="H14" s="3">
        <f t="shared" si="2"/>
        <v>0.37024894090331412</v>
      </c>
      <c r="I14" s="1">
        <v>1</v>
      </c>
      <c r="J14" s="21">
        <v>40</v>
      </c>
      <c r="K14" s="1" t="s">
        <v>14</v>
      </c>
      <c r="L14" s="1"/>
    </row>
    <row r="15" spans="1:12" ht="23.25" x14ac:dyDescent="0.3">
      <c r="A15" s="30" t="s">
        <v>60</v>
      </c>
      <c r="B15" s="31">
        <v>50</v>
      </c>
      <c r="C15" s="34">
        <v>71.818181818181813</v>
      </c>
      <c r="D15" s="21">
        <f t="shared" si="0"/>
        <v>21.818181818181813</v>
      </c>
      <c r="E15" s="1">
        <v>10989</v>
      </c>
      <c r="F15" s="21">
        <f t="shared" si="1"/>
        <v>239759.99999999994</v>
      </c>
      <c r="G15" s="1">
        <v>454500</v>
      </c>
      <c r="H15" s="3">
        <f t="shared" si="2"/>
        <v>1.8956456456456461</v>
      </c>
      <c r="I15" s="1">
        <v>2</v>
      </c>
      <c r="J15" s="21">
        <v>36</v>
      </c>
      <c r="K15" s="1" t="s">
        <v>14</v>
      </c>
      <c r="L15" s="29"/>
    </row>
    <row r="16" spans="1:12" ht="23.25" x14ac:dyDescent="0.3">
      <c r="A16" s="30" t="s">
        <v>61</v>
      </c>
      <c r="B16" s="31">
        <v>20</v>
      </c>
      <c r="C16" s="34">
        <v>40.606060606060609</v>
      </c>
      <c r="D16" s="21">
        <f t="shared" si="0"/>
        <v>20.606060606060609</v>
      </c>
      <c r="E16" s="1">
        <v>7398</v>
      </c>
      <c r="F16" s="21">
        <f t="shared" si="1"/>
        <v>152443.63636363638</v>
      </c>
      <c r="G16" s="1">
        <v>185500</v>
      </c>
      <c r="H16" s="3">
        <f t="shared" si="2"/>
        <v>1.2168431849625494</v>
      </c>
      <c r="I16" s="1">
        <v>1</v>
      </c>
      <c r="J16" s="21">
        <v>40</v>
      </c>
      <c r="K16" s="1" t="s">
        <v>14</v>
      </c>
      <c r="L16" s="29"/>
    </row>
    <row r="17" spans="1:12" ht="23.25" x14ac:dyDescent="0.3">
      <c r="A17" s="30" t="s">
        <v>62</v>
      </c>
      <c r="B17" s="31">
        <v>3</v>
      </c>
      <c r="C17" s="34">
        <v>6.2777777777777777</v>
      </c>
      <c r="D17" s="21">
        <f t="shared" si="0"/>
        <v>3.2777777777777777</v>
      </c>
      <c r="E17" s="1">
        <v>6447</v>
      </c>
      <c r="F17" s="21">
        <f t="shared" si="1"/>
        <v>21131.833333333332</v>
      </c>
      <c r="G17" s="1">
        <v>14000</v>
      </c>
      <c r="H17" s="3">
        <f t="shared" si="2"/>
        <v>0.66250759123281622</v>
      </c>
      <c r="I17" s="1">
        <v>1</v>
      </c>
      <c r="J17" s="21">
        <v>40</v>
      </c>
      <c r="K17" s="1" t="s">
        <v>14</v>
      </c>
      <c r="L17" s="29"/>
    </row>
    <row r="18" spans="1:12" ht="18.75" x14ac:dyDescent="0.15">
      <c r="D18" s="2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rightToLeft="1" tabSelected="1" zoomScale="84" zoomScaleNormal="84" workbookViewId="0">
      <selection activeCell="H6" sqref="H6"/>
    </sheetView>
  </sheetViews>
  <sheetFormatPr defaultRowHeight="13.5" x14ac:dyDescent="0.15"/>
  <cols>
    <col min="1" max="1" width="14.33984375" bestFit="1" customWidth="1"/>
    <col min="2" max="2" width="31.99609375" customWidth="1"/>
    <col min="3" max="4" width="26.84765625" bestFit="1" customWidth="1"/>
    <col min="5" max="5" width="22.43359375" bestFit="1" customWidth="1"/>
    <col min="6" max="6" width="36.77734375" bestFit="1" customWidth="1"/>
    <col min="7" max="7" width="26.48046875" bestFit="1" customWidth="1"/>
    <col min="8" max="8" width="21.328125" bestFit="1" customWidth="1"/>
    <col min="9" max="9" width="17.0390625" bestFit="1" customWidth="1"/>
    <col min="10" max="10" width="12.50390625" bestFit="1" customWidth="1"/>
    <col min="11" max="11" width="9.9296875" bestFit="1" customWidth="1"/>
    <col min="12" max="12" width="79.5625" bestFit="1" customWidth="1"/>
  </cols>
  <sheetData>
    <row r="1" spans="1:12" ht="23.25" thickBot="1" x14ac:dyDescent="0.2">
      <c r="A1" s="24">
        <v>46026</v>
      </c>
      <c r="F1" s="16" t="s">
        <v>39</v>
      </c>
    </row>
    <row r="2" spans="1:12" ht="18" customHeight="1" thickBot="1" x14ac:dyDescent="0.3">
      <c r="A2" s="23" t="s">
        <v>0</v>
      </c>
      <c r="B2" s="25" t="s">
        <v>1</v>
      </c>
      <c r="C2" s="6" t="s">
        <v>12</v>
      </c>
      <c r="D2" s="7" t="s">
        <v>2</v>
      </c>
      <c r="E2" s="4" t="s">
        <v>6</v>
      </c>
      <c r="F2" s="14" t="s">
        <v>10</v>
      </c>
      <c r="G2" s="14" t="s">
        <v>8</v>
      </c>
      <c r="H2" s="26" t="s">
        <v>5</v>
      </c>
      <c r="I2" s="5" t="s">
        <v>4</v>
      </c>
      <c r="J2" s="5" t="s">
        <v>3</v>
      </c>
      <c r="K2" s="15" t="s">
        <v>7</v>
      </c>
      <c r="L2" s="5" t="s">
        <v>11</v>
      </c>
    </row>
    <row r="3" spans="1:12" ht="21" x14ac:dyDescent="0.25">
      <c r="A3" s="17" t="s">
        <v>15</v>
      </c>
      <c r="B3" s="21">
        <v>104.25531914893617</v>
      </c>
      <c r="C3" s="21">
        <v>140.59405940594058</v>
      </c>
      <c r="D3" s="21">
        <f>C3-B3</f>
        <v>36.338740257004417</v>
      </c>
      <c r="E3" s="1">
        <v>6620</v>
      </c>
      <c r="F3" s="21">
        <v>240562.46050136923</v>
      </c>
      <c r="G3" s="1">
        <v>312000</v>
      </c>
      <c r="H3" s="22">
        <f>G3/F3</f>
        <v>1.2969604623670041</v>
      </c>
      <c r="I3" s="1">
        <v>3</v>
      </c>
      <c r="J3" s="1">
        <v>36</v>
      </c>
      <c r="K3" s="1" t="s">
        <v>13</v>
      </c>
      <c r="L3" s="5" t="s">
        <v>66</v>
      </c>
    </row>
    <row r="4" spans="1:12" ht="21" x14ac:dyDescent="0.25">
      <c r="A4" s="17" t="s">
        <v>16</v>
      </c>
      <c r="B4" s="21">
        <v>85.763888888888886</v>
      </c>
      <c r="C4" s="21">
        <v>108.54700854700855</v>
      </c>
      <c r="D4" s="21">
        <f t="shared" ref="D4:D12" si="0">C4-B4</f>
        <v>22.783119658119659</v>
      </c>
      <c r="E4" s="1">
        <v>6887</v>
      </c>
      <c r="F4" s="21">
        <v>156907.34508547009</v>
      </c>
      <c r="G4" s="1">
        <v>235500</v>
      </c>
      <c r="H4" s="22">
        <f t="shared" ref="H4:H12" si="1">G4/F4</f>
        <v>1.5008857607763304</v>
      </c>
      <c r="I4" s="1">
        <v>3</v>
      </c>
      <c r="J4" s="1">
        <v>36</v>
      </c>
      <c r="K4" s="1" t="s">
        <v>13</v>
      </c>
      <c r="L4" s="10"/>
    </row>
    <row r="5" spans="1:12" ht="21" x14ac:dyDescent="0.25">
      <c r="A5" s="17" t="s">
        <v>17</v>
      </c>
      <c r="B5" s="21">
        <v>76.881720430107521</v>
      </c>
      <c r="C5" s="21">
        <v>102.67175572519083</v>
      </c>
      <c r="D5" s="21">
        <f t="shared" si="0"/>
        <v>25.790035295083314</v>
      </c>
      <c r="E5" s="1">
        <v>6866</v>
      </c>
      <c r="F5" s="21">
        <v>177074.38233604204</v>
      </c>
      <c r="G5" s="1">
        <v>244000</v>
      </c>
      <c r="H5" s="3">
        <f t="shared" si="1"/>
        <v>1.377952004016878</v>
      </c>
      <c r="I5" s="1">
        <v>3</v>
      </c>
      <c r="J5" s="1">
        <v>36</v>
      </c>
      <c r="K5" s="1" t="s">
        <v>13</v>
      </c>
      <c r="L5" s="10"/>
    </row>
    <row r="6" spans="1:12" ht="21" x14ac:dyDescent="0.25">
      <c r="A6" s="17" t="s">
        <v>18</v>
      </c>
      <c r="B6" s="21">
        <v>82.432432432432435</v>
      </c>
      <c r="C6" s="21">
        <v>100.48076923076923</v>
      </c>
      <c r="D6" s="21">
        <f t="shared" si="0"/>
        <v>18.048336798336791</v>
      </c>
      <c r="E6" s="1">
        <v>6885</v>
      </c>
      <c r="F6" s="21">
        <v>124262.7988565488</v>
      </c>
      <c r="G6" s="1">
        <v>280000</v>
      </c>
      <c r="H6" s="3">
        <f t="shared" si="1"/>
        <v>2.2532890179243186</v>
      </c>
      <c r="I6" s="1">
        <v>3</v>
      </c>
      <c r="J6" s="1">
        <v>36</v>
      </c>
      <c r="K6" s="1" t="s">
        <v>13</v>
      </c>
      <c r="L6" s="10"/>
    </row>
    <row r="7" spans="1:12" ht="21" x14ac:dyDescent="0.25">
      <c r="A7" s="17" t="s">
        <v>19</v>
      </c>
      <c r="B7" s="21">
        <v>61.475409836065573</v>
      </c>
      <c r="C7" s="21">
        <v>101.08695652173913</v>
      </c>
      <c r="D7" s="21">
        <f t="shared" si="0"/>
        <v>39.611546685673552</v>
      </c>
      <c r="E7" s="1">
        <v>6035</v>
      </c>
      <c r="F7" s="21">
        <v>239055.68424803988</v>
      </c>
      <c r="G7" s="1">
        <v>189000</v>
      </c>
      <c r="H7" s="3">
        <f t="shared" si="1"/>
        <v>0.79061077587218964</v>
      </c>
      <c r="I7" s="1">
        <v>3</v>
      </c>
      <c r="J7" s="1">
        <v>36</v>
      </c>
      <c r="K7" s="1" t="s">
        <v>14</v>
      </c>
      <c r="L7" s="10"/>
    </row>
    <row r="8" spans="1:12" ht="21" x14ac:dyDescent="0.25">
      <c r="A8" s="17" t="s">
        <v>20</v>
      </c>
      <c r="B8" s="21">
        <v>92.307692307692307</v>
      </c>
      <c r="C8" s="21">
        <v>111.88118811881188</v>
      </c>
      <c r="D8" s="21">
        <f t="shared" si="0"/>
        <v>19.573495811119571</v>
      </c>
      <c r="E8" s="1">
        <v>6814</v>
      </c>
      <c r="F8" s="21">
        <v>133373.80045696875</v>
      </c>
      <c r="G8" s="1">
        <v>289500</v>
      </c>
      <c r="H8" s="3">
        <f t="shared" si="1"/>
        <v>2.170591218126106</v>
      </c>
      <c r="I8" s="1">
        <v>3</v>
      </c>
      <c r="J8" s="1">
        <v>36</v>
      </c>
      <c r="K8" s="1" t="s">
        <v>13</v>
      </c>
      <c r="L8" s="10"/>
    </row>
    <row r="9" spans="1:12" ht="21" x14ac:dyDescent="0.25">
      <c r="A9" s="17" t="s">
        <v>21</v>
      </c>
      <c r="B9" s="21">
        <v>86.549707602339183</v>
      </c>
      <c r="C9" s="21">
        <v>124.13793103448276</v>
      </c>
      <c r="D9" s="21">
        <f t="shared" si="0"/>
        <v>37.588223432143579</v>
      </c>
      <c r="E9" s="1">
        <v>7490</v>
      </c>
      <c r="F9" s="21">
        <v>281535.79350675538</v>
      </c>
      <c r="G9" s="1">
        <v>297000</v>
      </c>
      <c r="H9" s="3">
        <f t="shared" si="1"/>
        <v>1.0549280299340467</v>
      </c>
      <c r="I9" s="1">
        <v>3</v>
      </c>
      <c r="J9" s="1">
        <v>36</v>
      </c>
      <c r="K9" s="1" t="s">
        <v>14</v>
      </c>
      <c r="L9" s="10"/>
    </row>
    <row r="10" spans="1:12" ht="21" x14ac:dyDescent="0.25">
      <c r="A10" s="17" t="s">
        <v>22</v>
      </c>
      <c r="B10" s="21">
        <v>81.72043010752688</v>
      </c>
      <c r="C10" s="21">
        <v>116.66666666666667</v>
      </c>
      <c r="D10" s="21">
        <f t="shared" si="0"/>
        <v>34.946236559139791</v>
      </c>
      <c r="E10" s="1">
        <v>7487</v>
      </c>
      <c r="F10" s="21">
        <v>261642.47311827962</v>
      </c>
      <c r="G10" s="1">
        <v>293000</v>
      </c>
      <c r="H10" s="3">
        <f t="shared" si="1"/>
        <v>1.1198487634977548</v>
      </c>
      <c r="I10" s="1">
        <v>3</v>
      </c>
      <c r="J10" s="1">
        <v>36</v>
      </c>
      <c r="K10" s="1" t="s">
        <v>13</v>
      </c>
      <c r="L10" s="10"/>
    </row>
    <row r="11" spans="1:12" ht="21" x14ac:dyDescent="0.25">
      <c r="A11" s="17" t="s">
        <v>23</v>
      </c>
      <c r="B11" s="21">
        <v>75</v>
      </c>
      <c r="C11" s="21">
        <v>101.35135135135135</v>
      </c>
      <c r="D11" s="21">
        <f t="shared" si="0"/>
        <v>26.351351351351354</v>
      </c>
      <c r="E11" s="21">
        <v>7936</v>
      </c>
      <c r="F11" s="21">
        <v>209124.32432432435</v>
      </c>
      <c r="G11" s="21">
        <v>267000</v>
      </c>
      <c r="H11" s="3">
        <f t="shared" si="1"/>
        <v>1.2767524813895781</v>
      </c>
      <c r="I11" s="1">
        <v>3</v>
      </c>
      <c r="J11" s="1">
        <v>36</v>
      </c>
      <c r="K11" s="1" t="s">
        <v>13</v>
      </c>
      <c r="L11" s="12"/>
    </row>
    <row r="12" spans="1:12" ht="21" x14ac:dyDescent="0.25">
      <c r="A12" s="17" t="s">
        <v>24</v>
      </c>
      <c r="B12" s="35">
        <v>4</v>
      </c>
      <c r="C12" s="35"/>
      <c r="D12" s="35">
        <f t="shared" si="0"/>
        <v>-4</v>
      </c>
      <c r="E12" s="36">
        <v>14299</v>
      </c>
      <c r="F12" s="36">
        <v>209124.32432432435</v>
      </c>
      <c r="G12" s="35">
        <v>7000</v>
      </c>
      <c r="H12" s="37">
        <f t="shared" si="1"/>
        <v>3.3472911497105039E-2</v>
      </c>
      <c r="I12" s="35">
        <v>0.9</v>
      </c>
      <c r="J12" s="1">
        <v>40</v>
      </c>
      <c r="K12" s="35"/>
      <c r="L12" s="12"/>
    </row>
    <row r="13" spans="1:12" ht="21" x14ac:dyDescent="0.15">
      <c r="A13" s="19" t="s">
        <v>25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12"/>
    </row>
    <row r="14" spans="1:12" ht="21" x14ac:dyDescent="0.15">
      <c r="A14" s="19" t="s">
        <v>26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12"/>
    </row>
    <row r="15" spans="1:12" ht="21" x14ac:dyDescent="0.25">
      <c r="A15" s="18" t="s">
        <v>27</v>
      </c>
      <c r="B15" s="21">
        <v>107.48299319727892</v>
      </c>
      <c r="C15" s="21">
        <v>147.61904761904762</v>
      </c>
      <c r="D15" s="21">
        <f t="shared" ref="D15:D23" si="2">C15-B15</f>
        <v>40.136054421768705</v>
      </c>
      <c r="E15" s="1">
        <v>6474</v>
      </c>
      <c r="F15" s="21">
        <v>259840.81632653059</v>
      </c>
      <c r="G15" s="1">
        <v>315000</v>
      </c>
      <c r="H15" s="3">
        <f>G15/F15</f>
        <v>1.2122806741961327</v>
      </c>
      <c r="I15" s="1">
        <v>3</v>
      </c>
      <c r="J15" s="1">
        <v>36</v>
      </c>
      <c r="K15" s="1" t="s">
        <v>14</v>
      </c>
      <c r="L15" s="12"/>
    </row>
    <row r="16" spans="1:12" ht="21" x14ac:dyDescent="0.25">
      <c r="A16" s="18" t="s">
        <v>28</v>
      </c>
      <c r="B16" s="21">
        <v>88.815789473684205</v>
      </c>
      <c r="C16" s="21">
        <v>108.69565217391305</v>
      </c>
      <c r="D16" s="21">
        <f t="shared" si="2"/>
        <v>19.879862700228841</v>
      </c>
      <c r="E16" s="1">
        <v>6824</v>
      </c>
      <c r="F16" s="21">
        <v>135660.18306636161</v>
      </c>
      <c r="G16" s="1">
        <v>233000</v>
      </c>
      <c r="H16" s="3">
        <f t="shared" ref="H16:H24" si="3">G16/F16</f>
        <v>1.7175267991937042</v>
      </c>
      <c r="I16" s="1">
        <v>3</v>
      </c>
      <c r="J16" s="1">
        <v>36</v>
      </c>
      <c r="K16" s="1" t="s">
        <v>13</v>
      </c>
      <c r="L16" s="12"/>
    </row>
    <row r="17" spans="1:12" ht="21" x14ac:dyDescent="0.25">
      <c r="A17" s="18" t="s">
        <v>29</v>
      </c>
      <c r="B17" s="21">
        <v>87.134502923976612</v>
      </c>
      <c r="C17" s="21">
        <v>100</v>
      </c>
      <c r="D17" s="21">
        <v>15</v>
      </c>
      <c r="E17" s="1">
        <v>6230</v>
      </c>
      <c r="F17" s="21">
        <v>65030.687560324768</v>
      </c>
      <c r="G17" s="1">
        <v>248000</v>
      </c>
      <c r="H17" s="3">
        <f t="shared" si="3"/>
        <v>3.813584160092824</v>
      </c>
      <c r="I17" s="1">
        <v>3</v>
      </c>
      <c r="J17" s="1">
        <v>36</v>
      </c>
      <c r="K17" s="1" t="s">
        <v>14</v>
      </c>
      <c r="L17" s="12"/>
    </row>
    <row r="18" spans="1:12" ht="21" x14ac:dyDescent="0.25">
      <c r="A18" s="18" t="s">
        <v>30</v>
      </c>
      <c r="B18" s="21">
        <v>86.567164179104481</v>
      </c>
      <c r="C18" s="21">
        <v>102.20588235294117</v>
      </c>
      <c r="D18" s="21">
        <f t="shared" si="2"/>
        <v>15.638718173836693</v>
      </c>
      <c r="E18" s="1">
        <v>6839</v>
      </c>
      <c r="F18" s="21">
        <v>106953.19359086915</v>
      </c>
      <c r="G18" s="1">
        <v>283500</v>
      </c>
      <c r="H18" s="3">
        <f t="shared" si="3"/>
        <v>2.6506922372461355</v>
      </c>
      <c r="I18" s="1">
        <v>3</v>
      </c>
      <c r="J18" s="1">
        <v>36</v>
      </c>
      <c r="K18" s="1" t="s">
        <v>14</v>
      </c>
      <c r="L18" s="12"/>
    </row>
    <row r="19" spans="1:12" ht="21" x14ac:dyDescent="0.25">
      <c r="A19" s="18" t="s">
        <v>31</v>
      </c>
      <c r="B19" s="21">
        <v>84.756097560975604</v>
      </c>
      <c r="C19" s="21">
        <v>105.76923076923077</v>
      </c>
      <c r="D19" s="21">
        <f t="shared" si="2"/>
        <v>21.013133208255169</v>
      </c>
      <c r="E19" s="1">
        <v>6465</v>
      </c>
      <c r="F19" s="21">
        <v>135849.90619136966</v>
      </c>
      <c r="G19" s="1">
        <v>248000</v>
      </c>
      <c r="H19" s="3">
        <f t="shared" si="3"/>
        <v>1.825544138769196</v>
      </c>
      <c r="I19" s="1">
        <v>3</v>
      </c>
      <c r="J19" s="1">
        <v>36</v>
      </c>
      <c r="K19" s="1" t="s">
        <v>14</v>
      </c>
      <c r="L19" s="12"/>
    </row>
    <row r="20" spans="1:12" ht="21" x14ac:dyDescent="0.25">
      <c r="A20" s="18" t="s">
        <v>32</v>
      </c>
      <c r="B20" s="21">
        <v>77.647058823529406</v>
      </c>
      <c r="C20" s="21">
        <v>96.721311475409834</v>
      </c>
      <c r="D20" s="21">
        <f t="shared" si="2"/>
        <v>19.074252651880428</v>
      </c>
      <c r="E20" s="1">
        <v>6537</v>
      </c>
      <c r="F20" s="21">
        <v>124688.38958534236</v>
      </c>
      <c r="G20" s="1">
        <v>246000</v>
      </c>
      <c r="H20" s="22">
        <f t="shared" si="3"/>
        <v>1.9729182550042199</v>
      </c>
      <c r="I20" s="1">
        <v>3</v>
      </c>
      <c r="J20" s="1">
        <v>36</v>
      </c>
      <c r="K20" s="1" t="s">
        <v>14</v>
      </c>
      <c r="L20" s="12"/>
    </row>
    <row r="21" spans="1:12" ht="21" x14ac:dyDescent="0.25">
      <c r="A21" s="18" t="s">
        <v>33</v>
      </c>
      <c r="B21" s="21">
        <v>69.105691056910572</v>
      </c>
      <c r="C21" s="21">
        <v>89.629629629629633</v>
      </c>
      <c r="D21" s="21">
        <f t="shared" si="2"/>
        <v>20.523938572719061</v>
      </c>
      <c r="E21" s="1">
        <v>6670</v>
      </c>
      <c r="F21" s="21">
        <v>136894.67028003614</v>
      </c>
      <c r="G21" s="1">
        <v>248000</v>
      </c>
      <c r="H21" s="3">
        <f t="shared" si="3"/>
        <v>1.8116117997339358</v>
      </c>
      <c r="I21" s="1">
        <v>3</v>
      </c>
      <c r="J21" s="1">
        <v>36</v>
      </c>
      <c r="K21" s="1" t="s">
        <v>13</v>
      </c>
      <c r="L21" s="12"/>
    </row>
    <row r="22" spans="1:12" ht="21" x14ac:dyDescent="0.25">
      <c r="A22" s="18" t="s">
        <v>34</v>
      </c>
      <c r="B22" s="21">
        <v>48.98989898989899</v>
      </c>
      <c r="C22" s="21">
        <v>66.25</v>
      </c>
      <c r="D22" s="21">
        <f t="shared" si="2"/>
        <v>17.26010101010101</v>
      </c>
      <c r="E22" s="1">
        <v>9456</v>
      </c>
      <c r="F22" s="21">
        <v>163211.51515151517</v>
      </c>
      <c r="G22" s="1">
        <v>187500</v>
      </c>
      <c r="H22" s="3">
        <f t="shared" si="3"/>
        <v>1.1488160000594134</v>
      </c>
      <c r="I22" s="1" t="s">
        <v>9</v>
      </c>
      <c r="J22" s="1">
        <v>36</v>
      </c>
      <c r="K22" s="1" t="s">
        <v>14</v>
      </c>
      <c r="L22" s="12"/>
    </row>
    <row r="23" spans="1:12" ht="21" x14ac:dyDescent="0.25">
      <c r="A23" s="18" t="s">
        <v>35</v>
      </c>
      <c r="B23" s="21">
        <v>50.285714285714285</v>
      </c>
      <c r="C23" s="21">
        <v>84.583333333333329</v>
      </c>
      <c r="D23" s="21">
        <f t="shared" si="2"/>
        <v>34.297619047619044</v>
      </c>
      <c r="E23" s="1">
        <v>10641</v>
      </c>
      <c r="F23" s="21">
        <v>364960.96428571426</v>
      </c>
      <c r="G23" s="1">
        <v>278000</v>
      </c>
      <c r="H23" s="3">
        <f t="shared" si="3"/>
        <v>0.76172529997581939</v>
      </c>
      <c r="I23" s="1" t="s">
        <v>9</v>
      </c>
      <c r="J23" s="1">
        <v>36</v>
      </c>
      <c r="K23" s="1" t="s">
        <v>14</v>
      </c>
      <c r="L23" s="12"/>
    </row>
    <row r="24" spans="1:12" ht="21" x14ac:dyDescent="0.25">
      <c r="A24" s="18" t="s">
        <v>36</v>
      </c>
      <c r="B24" s="35">
        <v>4</v>
      </c>
      <c r="C24" s="35">
        <v>8</v>
      </c>
      <c r="D24" s="35">
        <v>4</v>
      </c>
      <c r="E24" s="35">
        <v>13238</v>
      </c>
      <c r="F24" s="36">
        <v>364960.96428571426</v>
      </c>
      <c r="G24" s="35">
        <v>278000</v>
      </c>
      <c r="H24" s="22">
        <f t="shared" si="3"/>
        <v>0.76172529997581939</v>
      </c>
      <c r="I24" s="35">
        <v>0.9</v>
      </c>
      <c r="J24" s="35">
        <v>40</v>
      </c>
      <c r="K24" s="35" t="s">
        <v>14</v>
      </c>
      <c r="L24" s="13"/>
    </row>
    <row r="25" spans="1:12" ht="21" x14ac:dyDescent="0.15">
      <c r="A25" s="19" t="s">
        <v>37</v>
      </c>
      <c r="B25" s="2"/>
      <c r="C25" s="2"/>
      <c r="D25" s="2"/>
      <c r="E25" s="2"/>
      <c r="F25" s="2"/>
      <c r="G25" s="2"/>
      <c r="H25" s="2"/>
      <c r="I25" s="2"/>
      <c r="J25" s="11"/>
      <c r="K25" s="11"/>
      <c r="L25" s="13"/>
    </row>
    <row r="26" spans="1:12" ht="21.75" thickBot="1" x14ac:dyDescent="0.2">
      <c r="A26" s="20" t="s">
        <v>38</v>
      </c>
      <c r="B26" s="2"/>
      <c r="C26" s="2"/>
      <c r="D26" s="2"/>
      <c r="E26" s="2"/>
      <c r="F26" s="2"/>
      <c r="G26" s="2"/>
      <c r="H26" s="2"/>
      <c r="I26" s="2"/>
      <c r="J26" s="11"/>
      <c r="K26" s="11"/>
      <c r="L26" s="1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قطاع التحضين 2026</vt:lpstr>
      <vt:lpstr>قطاع التربية2026</vt:lpstr>
      <vt:lpstr>قطاع التسمين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ESLAM</dc:creator>
  <cp:lastModifiedBy>إسلام السمادونى</cp:lastModifiedBy>
  <dcterms:created xsi:type="dcterms:W3CDTF">2015-06-05T18:17:20Z</dcterms:created>
  <dcterms:modified xsi:type="dcterms:W3CDTF">2026-04-02T16:42:19Z</dcterms:modified>
</cp:coreProperties>
</file>