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" sheetId="1" r:id="rId4"/>
    <sheet state="visible" name="SEP_2025" sheetId="2" r:id="rId5"/>
    <sheet state="visible" name="OCT_2025" sheetId="3" r:id="rId6"/>
    <sheet state="visible" name="NOV_2025" sheetId="4" r:id="rId7"/>
    <sheet state="visible" name="DEC_2025 " sheetId="5" r:id="rId8"/>
    <sheet state="visible" name="JAN_2026" sheetId="6" r:id="rId9"/>
    <sheet state="visible" name="FEB_2026" sheetId="7" r:id="rId10"/>
  </sheets>
  <definedNames/>
  <calcPr/>
  <extLst>
    <ext uri="GoogleSheetsCustomDataVersion2">
      <go:sheetsCustomData xmlns:go="http://customooxmlschemas.google.com/" r:id="rId11" roundtripDataChecksum="XmK91340OP4U6mNFSju72lVIiIxgyEd88HLgQHSzIYw="/>
    </ext>
  </extLst>
</workbook>
</file>

<file path=xl/sharedStrings.xml><?xml version="1.0" encoding="utf-8"?>
<sst xmlns="http://schemas.openxmlformats.org/spreadsheetml/2006/main" count="115" uniqueCount="28">
  <si>
    <t>month</t>
  </si>
  <si>
    <t>stage_sequance</t>
  </si>
  <si>
    <t>stage</t>
  </si>
  <si>
    <t>fish_number</t>
  </si>
  <si>
    <t>dead_fish_number</t>
  </si>
  <si>
    <t>current_fish_number</t>
  </si>
  <si>
    <t>loss_ratio</t>
  </si>
  <si>
    <t>total_loss_ratio</t>
  </si>
  <si>
    <t>pre-grow</t>
  </si>
  <si>
    <t>date</t>
  </si>
  <si>
    <t>tank_a1</t>
  </si>
  <si>
    <t>tank_a2</t>
  </si>
  <si>
    <t>tank_a3</t>
  </si>
  <si>
    <t>tank_a4</t>
  </si>
  <si>
    <t>tank_a5</t>
  </si>
  <si>
    <t>tank_a6</t>
  </si>
  <si>
    <t>tank_a7</t>
  </si>
  <si>
    <t>tank_b1</t>
  </si>
  <si>
    <t>tank_b2</t>
  </si>
  <si>
    <t>tank_b3</t>
  </si>
  <si>
    <t>tank_b4</t>
  </si>
  <si>
    <t>tank_b5</t>
  </si>
  <si>
    <t>tank_b6</t>
  </si>
  <si>
    <t>tank_b7</t>
  </si>
  <si>
    <t>total</t>
  </si>
  <si>
    <t>TOTAL OF THE MONTH</t>
  </si>
  <si>
    <t>daily_total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</si>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</sst>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FFFF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17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0" fillId="0" fontId="3" numFmtId="0" xfId="0" applyFont="1"/>
    <xf borderId="2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8" fillId="0" fontId="2" numFmtId="164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7">
    <tableStyle count="3" pivot="0" name="TOTAL -style">
      <tableStyleElement dxfId="1" type="headerRow"/>
      <tableStyleElement dxfId="2" type="firstRowStripe"/>
      <tableStyleElement dxfId="3" type="secondRowStripe"/>
    </tableStyle>
    <tableStyle count="3" pivot="0" name="SEP_2025-style">
      <tableStyleElement dxfId="1" type="headerRow"/>
      <tableStyleElement dxfId="2" type="firstRowStripe"/>
      <tableStyleElement dxfId="3" type="secondRowStripe"/>
    </tableStyle>
    <tableStyle count="4" pivot="0" name="OCT_2025-style">
      <tableStyleElement dxfId="1" type="headerRow"/>
      <tableStyleElement dxfId="2" type="firstRowStripe"/>
      <tableStyleElement dxfId="3" type="secondRowStripe"/>
      <tableStyleElement dxfId="3" type="totalRow"/>
    </tableStyle>
    <tableStyle count="4" pivot="0" name="NOV_2025-style">
      <tableStyleElement dxfId="1" type="headerRow"/>
      <tableStyleElement dxfId="2" type="firstRowStripe"/>
      <tableStyleElement dxfId="3" type="secondRowStripe"/>
      <tableStyleElement dxfId="3" type="totalRow"/>
    </tableStyle>
    <tableStyle count="4" pivot="0" name="DEC_2025 -style">
      <tableStyleElement dxfId="1" type="headerRow"/>
      <tableStyleElement dxfId="2" type="firstRowStripe"/>
      <tableStyleElement dxfId="3" type="secondRowStripe"/>
      <tableStyleElement dxfId="3" type="totalRow"/>
    </tableStyle>
    <tableStyle count="4" pivot="0" name="JAN_2026-style">
      <tableStyleElement dxfId="1" type="headerRow"/>
      <tableStyleElement dxfId="2" type="firstRowStripe"/>
      <tableStyleElement dxfId="3" type="secondRowStripe"/>
      <tableStyleElement dxfId="3" type="totalRow"/>
    </tableStyle>
    <tableStyle count="4" pivot="0" name="FEB_2026-style">
      <tableStyleElement dxfId="1" type="headerRow"/>
      <tableStyleElement dxfId="2" type="firstRowStripe"/>
      <tableStyleElement dxfId="3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6" displayName="Table_1" name="Table_1" id="1">
  <tableColumns count="8">
    <tableColumn name="month" id="1"/>
    <tableColumn name="stage_sequance" id="2"/>
    <tableColumn name="stage" id="3"/>
    <tableColumn name="fish_number" id="4"/>
    <tableColumn name="dead_fish_number" id="5"/>
    <tableColumn name="current_fish_number" id="6"/>
    <tableColumn name="loss_ratio" id="7"/>
    <tableColumn name="total_loss_ratio" id="8"/>
  </tableColumns>
  <tableStyleInfo name="TOTAL -style" showColumnStripes="0" showFirstColumn="1" showLastColumn="1" showRowStripes="1"/>
</table>
</file>

<file path=xl/tables/table2.xml><?xml version="1.0" encoding="utf-8"?>
<table xmlns="http://schemas.openxmlformats.org/spreadsheetml/2006/main" ref="A1:P2" displayName="Table_2" name="Table_2" id="2">
  <tableColumns count="16">
    <tableColumn name="date" id="1"/>
    <tableColumn name="tank_a1" id="2"/>
    <tableColumn name="tank_a2" id="3"/>
    <tableColumn name="tank_a3" id="4"/>
    <tableColumn name="tank_a4" id="5"/>
    <tableColumn name="tank_a5" id="6"/>
    <tableColumn name="tank_a6" id="7"/>
    <tableColumn name="tank_a7" id="8"/>
    <tableColumn name="tank_b1" id="9"/>
    <tableColumn name="tank_b2" id="10"/>
    <tableColumn name="tank_b3" id="11"/>
    <tableColumn name="tank_b4" id="12"/>
    <tableColumn name="tank_b5" id="13"/>
    <tableColumn name="tank_b6" id="14"/>
    <tableColumn name="tank_b7" id="15"/>
    <tableColumn name="total" id="16"/>
  </tableColumns>
  <tableStyleInfo name="SEP_2025-style" showColumnStripes="0" showFirstColumn="1" showLastColumn="1" showRowStripes="1"/>
</table>
</file>

<file path=xl/tables/table3.xml><?xml version="1.0" encoding="utf-8"?>
<table xmlns="http://schemas.openxmlformats.org/spreadsheetml/2006/main" totalsRowCount="1" ref="A1:P33" displayName="Table_3" name="Table_3" id="3">
  <tableColumns count="16">
    <tableColumn totalsRowLabel="Total" name="date" id="1"/>
    <tableColumn totalsRowFunction="custom" name="tank_a1" id="2"/>
    <tableColumn totalsRowFunction="custom" name="tank_a2" id="3"/>
    <tableColumn totalsRowFunction="custom" name="tank_a3" id="4"/>
    <tableColumn totalsRowFunction="custom" name="tank_a4" id="5"/>
    <tableColumn totalsRowFunction="custom" name="tank_a5" id="6"/>
    <tableColumn totalsRowFunction="custom" name="tank_a6" id="7"/>
    <tableColumn totalsRowFunction="custom" name="tank_a7" id="8"/>
    <tableColumn totalsRowFunction="custom" name="tank_b1" id="9"/>
    <tableColumn totalsRowFunction="custom" name="tank_b2" id="10"/>
    <tableColumn totalsRowFunction="custom" name="tank_b3" id="11"/>
    <tableColumn totalsRowFunction="custom" name="tank_b4" id="12"/>
    <tableColumn totalsRowFunction="custom" name="tank_b5" id="13"/>
    <tableColumn totalsRowFunction="custom" name="tank_b6" id="14"/>
    <tableColumn totalsRowFunction="custom" name="tank_b7" id="15"/>
    <tableColumn totalsRowFunction="custom" name="daily_total" id="16"/>
  </tableColumns>
  <tableStyleInfo name="OCT_2025-style" showColumnStripes="0" showFirstColumn="1" showLastColumn="1" showRowStripes="1"/>
</table>
</file>

<file path=xl/tables/table4.xml><?xml version="1.0" encoding="utf-8"?>
<table xmlns="http://schemas.openxmlformats.org/spreadsheetml/2006/main" totalsRowCount="1" ref="A1:P32" displayName="Table_4" name="Table_4" id="4">
  <tableColumns count="16">
    <tableColumn totalsRowLabel="Total" name="date" id="1"/>
    <tableColumn totalsRowFunction="custom" name="tank_a1" id="2"/>
    <tableColumn totalsRowFunction="custom" name="tank_a2" id="3"/>
    <tableColumn totalsRowFunction="custom" name="tank_a3" id="4"/>
    <tableColumn totalsRowFunction="custom" name="tank_a4" id="5"/>
    <tableColumn totalsRowFunction="custom" name="tank_a5" id="6"/>
    <tableColumn totalsRowFunction="custom" name="tank_a6" id="7"/>
    <tableColumn totalsRowFunction="custom" name="tank_a7" id="8"/>
    <tableColumn totalsRowFunction="custom" name="tank_b1" id="9"/>
    <tableColumn totalsRowFunction="custom" name="tank_b2" id="10"/>
    <tableColumn totalsRowFunction="custom" name="tank_b3" id="11"/>
    <tableColumn totalsRowFunction="custom" name="tank_b4" id="12"/>
    <tableColumn totalsRowFunction="custom" name="tank_b5" id="13"/>
    <tableColumn totalsRowFunction="custom" name="tank_b6" id="14"/>
    <tableColumn totalsRowFunction="custom" name="tank_b7" id="15"/>
    <tableColumn totalsRowFunction="custom" name="daily_total" id="16"/>
  </tableColumns>
  <tableStyleInfo name="NOV_2025-style" showColumnStripes="0" showFirstColumn="1" showLastColumn="1" showRowStripes="1"/>
</table>
</file>

<file path=xl/tables/table5.xml><?xml version="1.0" encoding="utf-8"?>
<table xmlns="http://schemas.openxmlformats.org/spreadsheetml/2006/main" totalsRowCount="1" ref="A1:P33" displayName="Table_5" name="Table_5" id="5">
  <tableColumns count="16">
    <tableColumn totalsRowLabel="Total" name="date" id="1"/>
    <tableColumn totalsRowFunction="custom" name="tank_a1" id="2"/>
    <tableColumn totalsRowFunction="custom" name="tank_a2" id="3"/>
    <tableColumn totalsRowFunction="custom" name="tank_a3" id="4"/>
    <tableColumn totalsRowFunction="custom" name="tank_a4" id="5"/>
    <tableColumn totalsRowFunction="custom" name="tank_a5" id="6"/>
    <tableColumn totalsRowFunction="custom" name="tank_a6" id="7"/>
    <tableColumn totalsRowFunction="custom" name="tank_a7" id="8"/>
    <tableColumn totalsRowFunction="custom" name="tank_b1" id="9"/>
    <tableColumn totalsRowFunction="custom" name="tank_b2" id="10"/>
    <tableColumn totalsRowFunction="custom" name="tank_b3" id="11"/>
    <tableColumn totalsRowFunction="custom" name="tank_b4" id="12"/>
    <tableColumn totalsRowFunction="custom" name="tank_b5" id="13"/>
    <tableColumn totalsRowFunction="custom" name="tank_b6" id="14"/>
    <tableColumn totalsRowFunction="custom" name="tank_b7" id="15"/>
    <tableColumn totalsRowFunction="custom" name="daily_total" id="16"/>
  </tableColumns>
  <tableStyleInfo name="DEC_2025 -style" showColumnStripes="0" showFirstColumn="1" showLastColumn="1" showRowStripes="1"/>
</table>
</file>

<file path=xl/tables/table6.xml><?xml version="1.0" encoding="utf-8"?>
<table xmlns="http://schemas.openxmlformats.org/spreadsheetml/2006/main" totalsRowCount="1" ref="A1:P33" displayName="Table_6" name="Table_6" id="6">
  <tableColumns count="16">
    <tableColumn totalsRowLabel="Total" name="date" id="1"/>
    <tableColumn totalsRowFunction="custom" name="tank_a1" id="2"/>
    <tableColumn totalsRowFunction="custom" name="tank_a2" id="3"/>
    <tableColumn totalsRowFunction="custom" name="tank_a3" id="4"/>
    <tableColumn totalsRowFunction="custom" name="tank_a4" id="5"/>
    <tableColumn totalsRowFunction="custom" name="tank_a5" id="6"/>
    <tableColumn totalsRowFunction="custom" name="tank_a6" id="7"/>
    <tableColumn totalsRowFunction="custom" name="tank_a7" id="8"/>
    <tableColumn totalsRowFunction="custom" name="tank_b1" id="9"/>
    <tableColumn totalsRowFunction="custom" name="tank_b2" id="10"/>
    <tableColumn totalsRowFunction="custom" name="tank_b3" id="11"/>
    <tableColumn totalsRowFunction="custom" name="tank_b4" id="12"/>
    <tableColumn totalsRowFunction="custom" name="tank_b5" id="13"/>
    <tableColumn totalsRowFunction="custom" name="tank_b6" id="14"/>
    <tableColumn totalsRowFunction="custom" name="tank_b7" id="15"/>
    <tableColumn totalsRowFunction="custom" name="daily_total" id="16"/>
  </tableColumns>
  <tableStyleInfo name="JAN_2026-style" showColumnStripes="0" showFirstColumn="1" showLastColumn="1" showRowStripes="1"/>
</table>
</file>

<file path=xl/tables/table7.xml><?xml version="1.0" encoding="utf-8"?>
<table xmlns="http://schemas.openxmlformats.org/spreadsheetml/2006/main" totalsRowCount="1" ref="A1:P30" displayName="Table_7" name="Table_7" id="7">
  <tableColumns count="16">
    <tableColumn totalsRowLabel="Total" name="date" id="1"/>
    <tableColumn totalsRowFunction="custom" name="tank_a1" id="2"/>
    <tableColumn totalsRowFunction="custom" name="tank_a2" id="3"/>
    <tableColumn totalsRowFunction="custom" name="tank_a3" id="4"/>
    <tableColumn totalsRowFunction="custom" name="tank_a4" id="5"/>
    <tableColumn totalsRowFunction="custom" name="tank_a5" id="6"/>
    <tableColumn totalsRowFunction="custom" name="tank_a6" id="7"/>
    <tableColumn totalsRowFunction="custom" name="tank_a7" id="8"/>
    <tableColumn totalsRowFunction="custom" name="tank_b1" id="9"/>
    <tableColumn totalsRowFunction="custom" name="tank_b2" id="10"/>
    <tableColumn totalsRowFunction="custom" name="tank_b3" id="11"/>
    <tableColumn totalsRowFunction="custom" name="tank_b4" id="12"/>
    <tableColumn totalsRowFunction="custom" name="tank_b5" id="13"/>
    <tableColumn totalsRowFunction="custom" name="tank_b6" id="14"/>
    <tableColumn totalsRowFunction="custom" name="tank_b7" id="15"/>
    <tableColumn totalsRowFunction="custom" name="daily_total" id="16"/>
  </tableColumns>
  <tableStyleInfo name="FEB_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5.29"/>
    <col customWidth="1" min="3" max="3" width="14.14"/>
    <col customWidth="1" min="4" max="4" width="21.86"/>
    <col customWidth="1" min="5" max="5" width="20.29"/>
    <col customWidth="1" min="6" max="6" width="19.86"/>
    <col customWidth="1" min="7" max="7" width="21.0"/>
    <col customWidth="1" min="8" max="8" width="18.14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45901.0</v>
      </c>
      <c r="B2" s="3">
        <v>2.0</v>
      </c>
      <c r="C2" s="3" t="s">
        <v>8</v>
      </c>
      <c r="D2" s="4">
        <v>279036.0</v>
      </c>
      <c r="E2" s="3">
        <f>SEP_2025!$P2</f>
        <v>3738</v>
      </c>
      <c r="F2" s="3">
        <f>'TOTAL '!$D2-'TOTAL '!$E2</f>
        <v>275298</v>
      </c>
      <c r="G2" s="5">
        <f>'TOTAL '!$E2/'TOTAL '!$D2</f>
        <v>0.01339612093</v>
      </c>
      <c r="H2" s="5">
        <f>'TOTAL '!$G2</f>
        <v>0.01339612093</v>
      </c>
    </row>
    <row r="3">
      <c r="A3" s="2">
        <v>45931.0</v>
      </c>
      <c r="B3" s="3">
        <v>2.0</v>
      </c>
      <c r="C3" s="3" t="s">
        <v>8</v>
      </c>
      <c r="D3" s="3">
        <f t="shared" ref="D3:D6" si="1">F2</f>
        <v>275298</v>
      </c>
      <c r="E3" s="3">
        <f>OCT_2025!$P$33</f>
        <v>3097</v>
      </c>
      <c r="F3" s="3">
        <f>'TOTAL '!$D3-'TOTAL '!$E3</f>
        <v>272201</v>
      </c>
      <c r="G3" s="5">
        <f>'TOTAL '!$E3/'TOTAL '!$D3</f>
        <v>0.01124962768</v>
      </c>
      <c r="H3" s="5">
        <f>H2+'TOTAL '!$G3</f>
        <v>0.02464574861</v>
      </c>
    </row>
    <row r="4">
      <c r="A4" s="2">
        <v>45962.0</v>
      </c>
      <c r="B4" s="3">
        <v>2.0</v>
      </c>
      <c r="C4" s="3" t="s">
        <v>8</v>
      </c>
      <c r="D4" s="3">
        <f t="shared" si="1"/>
        <v>272201</v>
      </c>
      <c r="E4" s="3">
        <f>NOV_2025!$P$32</f>
        <v>1368</v>
      </c>
      <c r="F4" s="3">
        <f>'TOTAL '!$D4-'TOTAL '!$E4</f>
        <v>270833</v>
      </c>
      <c r="G4" s="5">
        <f>'TOTAL '!$E4/'TOTAL '!$D4</f>
        <v>0.005025697922</v>
      </c>
      <c r="H4" s="5">
        <f>'TOTAL '!$G4+H3</f>
        <v>0.02967144653</v>
      </c>
    </row>
    <row r="5">
      <c r="A5" s="2">
        <v>45992.0</v>
      </c>
      <c r="B5" s="3">
        <v>2.0</v>
      </c>
      <c r="C5" s="3" t="s">
        <v>8</v>
      </c>
      <c r="D5" s="3">
        <f t="shared" si="1"/>
        <v>270833</v>
      </c>
      <c r="E5" s="3">
        <f>'DEC_2025 '!$P$33</f>
        <v>2004</v>
      </c>
      <c r="F5" s="3">
        <f>'TOTAL '!$D5-'TOTAL '!$E5</f>
        <v>268829</v>
      </c>
      <c r="G5" s="5">
        <f>'TOTAL '!$E5/'TOTAL '!$D5</f>
        <v>0.007399393722</v>
      </c>
      <c r="H5" s="5">
        <f>'TOTAL '!$G5+H4</f>
        <v>0.03707084025</v>
      </c>
    </row>
    <row r="6">
      <c r="A6" s="2">
        <v>46023.0</v>
      </c>
      <c r="B6" s="3">
        <v>2.0</v>
      </c>
      <c r="C6" s="3" t="s">
        <v>8</v>
      </c>
      <c r="D6" s="3">
        <f t="shared" si="1"/>
        <v>268829</v>
      </c>
      <c r="E6" s="3">
        <f>JAN_2026!$P$33</f>
        <v>0</v>
      </c>
      <c r="F6" s="3">
        <f>'TOTAL '!$D6-'TOTAL '!$E6</f>
        <v>268829</v>
      </c>
      <c r="G6" s="5">
        <f>'TOTAL '!$E6/'TOTAL '!$D6</f>
        <v>0</v>
      </c>
      <c r="H6" s="5">
        <f>'TOTAL '!$G6+H5</f>
        <v>0.03707084025</v>
      </c>
    </row>
    <row r="7">
      <c r="B7" s="6"/>
    </row>
    <row r="8">
      <c r="B8" s="6"/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11.57"/>
    <col customWidth="1" min="3" max="3" width="10.71"/>
    <col customWidth="1" min="4" max="4" width="10.43"/>
    <col customWidth="1" min="5" max="5" width="10.14"/>
    <col customWidth="1" min="6" max="6" width="10.29"/>
    <col customWidth="1" min="7" max="8" width="10.43"/>
    <col customWidth="1" min="9" max="9" width="10.86"/>
    <col customWidth="1" min="10" max="10" width="10.43"/>
    <col customWidth="1" min="11" max="11" width="10.86"/>
    <col customWidth="1" min="12" max="13" width="10.71"/>
    <col customWidth="1" min="14" max="15" width="10.57"/>
    <col customWidth="1" min="16" max="16" width="11.71"/>
    <col customWidth="1" min="17" max="26" width="8.71"/>
  </cols>
  <sheetData>
    <row r="1">
      <c r="A1" s="7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9" t="s">
        <v>24</v>
      </c>
    </row>
    <row r="2">
      <c r="A2" s="10" t="s">
        <v>25</v>
      </c>
      <c r="B2" s="11">
        <v>48.0</v>
      </c>
      <c r="C2" s="12">
        <v>36.0</v>
      </c>
      <c r="D2" s="12">
        <v>436.0</v>
      </c>
      <c r="E2" s="12">
        <v>164.0</v>
      </c>
      <c r="F2" s="12">
        <v>39.0</v>
      </c>
      <c r="G2" s="12">
        <v>1892.0</v>
      </c>
      <c r="H2" s="12">
        <v>18.0</v>
      </c>
      <c r="I2" s="12">
        <v>852.0</v>
      </c>
      <c r="J2" s="12">
        <v>21.0</v>
      </c>
      <c r="K2" s="12">
        <v>47.0</v>
      </c>
      <c r="L2" s="12">
        <v>8.0</v>
      </c>
      <c r="M2" s="12">
        <v>48.0</v>
      </c>
      <c r="N2" s="12">
        <v>111.0</v>
      </c>
      <c r="O2" s="13">
        <v>18.0</v>
      </c>
      <c r="P2" s="14">
        <f>SUM(SEP_2025!$B2:$O2)</f>
        <v>3738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1.43"/>
    <col customWidth="1" min="3" max="3" width="10.71"/>
    <col customWidth="1" min="4" max="4" width="11.14"/>
    <col customWidth="1" min="5" max="5" width="11.0"/>
    <col customWidth="1" min="6" max="6" width="10.71"/>
    <col customWidth="1" min="7" max="8" width="11.0"/>
    <col customWidth="1" min="9" max="9" width="11.57"/>
    <col customWidth="1" min="10" max="10" width="12.14"/>
    <col customWidth="1" min="11" max="11" width="11.71"/>
    <col customWidth="1" min="12" max="13" width="11.14"/>
    <col customWidth="1" min="14" max="14" width="11.0"/>
    <col customWidth="1" min="15" max="15" width="11.86"/>
    <col customWidth="1" min="16" max="16" width="14.0"/>
    <col customWidth="1" min="17" max="26" width="8.71"/>
  </cols>
  <sheetData>
    <row r="1">
      <c r="A1" s="7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15" t="s">
        <v>26</v>
      </c>
    </row>
    <row r="2">
      <c r="A2" s="16">
        <v>45931.0</v>
      </c>
      <c r="B2" s="17">
        <v>16.0</v>
      </c>
      <c r="C2" s="18">
        <v>21.0</v>
      </c>
      <c r="D2" s="18">
        <v>159.0</v>
      </c>
      <c r="E2" s="18">
        <v>83.0</v>
      </c>
      <c r="F2" s="18">
        <v>8.0</v>
      </c>
      <c r="G2" s="18">
        <v>1068.0</v>
      </c>
      <c r="H2" s="18">
        <v>10.0</v>
      </c>
      <c r="I2" s="18">
        <v>377.0</v>
      </c>
      <c r="J2" s="18">
        <v>4.0</v>
      </c>
      <c r="K2" s="18">
        <v>4.0</v>
      </c>
      <c r="L2" s="18">
        <v>13.0</v>
      </c>
      <c r="M2" s="18">
        <v>7.0</v>
      </c>
      <c r="N2" s="18">
        <v>6.0</v>
      </c>
      <c r="O2" s="19">
        <v>31.0</v>
      </c>
      <c r="P2" s="20">
        <f>SUM(OCT_2025!$B2:$O2)</f>
        <v>1807</v>
      </c>
    </row>
    <row r="3">
      <c r="A3" s="16">
        <v>45932.0</v>
      </c>
      <c r="B3" s="17">
        <v>1.0</v>
      </c>
      <c r="C3" s="18">
        <v>1.0</v>
      </c>
      <c r="D3" s="18">
        <v>4.0</v>
      </c>
      <c r="E3" s="18">
        <v>121.0</v>
      </c>
      <c r="F3" s="18">
        <v>1.0</v>
      </c>
      <c r="G3" s="18">
        <v>13.0</v>
      </c>
      <c r="H3" s="18">
        <v>4.0</v>
      </c>
      <c r="I3" s="18">
        <v>51.0</v>
      </c>
      <c r="J3" s="18">
        <v>3.0</v>
      </c>
      <c r="K3" s="18">
        <v>0.0</v>
      </c>
      <c r="L3" s="18">
        <v>17.0</v>
      </c>
      <c r="M3" s="18">
        <v>7.0</v>
      </c>
      <c r="N3" s="18">
        <v>18.0</v>
      </c>
      <c r="O3" s="19">
        <v>0.0</v>
      </c>
      <c r="P3" s="18">
        <f>SUM(OCT_2025!$B3:$O3)</f>
        <v>241</v>
      </c>
    </row>
    <row r="4">
      <c r="A4" s="16">
        <v>45933.0</v>
      </c>
      <c r="B4" s="17">
        <v>2.0</v>
      </c>
      <c r="C4" s="18">
        <v>3.0</v>
      </c>
      <c r="D4" s="18">
        <v>6.0</v>
      </c>
      <c r="E4" s="18">
        <v>10.0</v>
      </c>
      <c r="F4" s="18">
        <v>1.0</v>
      </c>
      <c r="G4" s="18">
        <v>7.0</v>
      </c>
      <c r="H4" s="18">
        <v>2.0</v>
      </c>
      <c r="I4" s="18">
        <v>16.0</v>
      </c>
      <c r="J4" s="18">
        <v>2.0</v>
      </c>
      <c r="K4" s="18">
        <v>1.0</v>
      </c>
      <c r="L4" s="18">
        <v>1.0</v>
      </c>
      <c r="M4" s="18">
        <v>3.0</v>
      </c>
      <c r="N4" s="18">
        <v>0.0</v>
      </c>
      <c r="O4" s="19">
        <v>3.0</v>
      </c>
      <c r="P4" s="18">
        <f>SUM(OCT_2025!$B4:$O4)</f>
        <v>57</v>
      </c>
    </row>
    <row r="5">
      <c r="A5" s="16">
        <v>45934.0</v>
      </c>
      <c r="B5" s="17">
        <v>0.0</v>
      </c>
      <c r="C5" s="18">
        <v>1.0</v>
      </c>
      <c r="D5" s="18">
        <v>2.0</v>
      </c>
      <c r="E5" s="18">
        <v>2.0</v>
      </c>
      <c r="F5" s="18">
        <v>4.0</v>
      </c>
      <c r="G5" s="18">
        <v>1.0</v>
      </c>
      <c r="H5" s="18">
        <v>0.0</v>
      </c>
      <c r="I5" s="18">
        <v>2.0</v>
      </c>
      <c r="J5" s="18">
        <v>2.0</v>
      </c>
      <c r="K5" s="18">
        <v>1.0</v>
      </c>
      <c r="L5" s="18">
        <v>1.0</v>
      </c>
      <c r="M5" s="18">
        <v>1.0</v>
      </c>
      <c r="N5" s="18">
        <v>3.0</v>
      </c>
      <c r="O5" s="19">
        <v>2.0</v>
      </c>
      <c r="P5" s="18">
        <f>SUM(OCT_2025!$B5:$O5)</f>
        <v>22</v>
      </c>
    </row>
    <row r="6">
      <c r="A6" s="16">
        <v>45935.0</v>
      </c>
      <c r="B6" s="17">
        <v>2.0</v>
      </c>
      <c r="C6" s="18">
        <v>1.0</v>
      </c>
      <c r="D6" s="18">
        <v>1.0</v>
      </c>
      <c r="E6" s="18">
        <v>0.0</v>
      </c>
      <c r="F6" s="18">
        <v>1.0</v>
      </c>
      <c r="G6" s="18">
        <v>0.0</v>
      </c>
      <c r="H6" s="18">
        <v>0.0</v>
      </c>
      <c r="I6" s="18">
        <v>1.0</v>
      </c>
      <c r="J6" s="18">
        <v>2.0</v>
      </c>
      <c r="K6" s="18">
        <v>1.0</v>
      </c>
      <c r="L6" s="18">
        <v>1.0</v>
      </c>
      <c r="M6" s="18">
        <v>0.0</v>
      </c>
      <c r="N6" s="18">
        <v>0.0</v>
      </c>
      <c r="O6" s="19">
        <v>1.0</v>
      </c>
      <c r="P6" s="18">
        <f>SUM(OCT_2025!$B6:$O6)</f>
        <v>11</v>
      </c>
    </row>
    <row r="7">
      <c r="A7" s="16">
        <v>45936.0</v>
      </c>
      <c r="B7" s="17">
        <v>0.0</v>
      </c>
      <c r="C7" s="18">
        <v>0.0</v>
      </c>
      <c r="D7" s="18">
        <v>0.0</v>
      </c>
      <c r="E7" s="18">
        <v>0.0</v>
      </c>
      <c r="F7" s="18">
        <v>0.0</v>
      </c>
      <c r="G7" s="18">
        <v>1.0</v>
      </c>
      <c r="H7" s="18">
        <v>0.0</v>
      </c>
      <c r="I7" s="18">
        <v>0.0</v>
      </c>
      <c r="J7" s="18">
        <v>0.0</v>
      </c>
      <c r="K7" s="18">
        <v>0.0</v>
      </c>
      <c r="L7" s="18">
        <v>0.0</v>
      </c>
      <c r="M7" s="18">
        <v>0.0</v>
      </c>
      <c r="N7" s="18">
        <v>2.0</v>
      </c>
      <c r="O7" s="19">
        <v>0.0</v>
      </c>
      <c r="P7" s="18">
        <f>SUM(OCT_2025!$B7:$O7)</f>
        <v>3</v>
      </c>
    </row>
    <row r="8">
      <c r="A8" s="16">
        <v>45937.0</v>
      </c>
      <c r="B8" s="17">
        <v>0.0</v>
      </c>
      <c r="C8" s="18">
        <v>0.0</v>
      </c>
      <c r="D8" s="18">
        <v>0.0</v>
      </c>
      <c r="E8" s="18">
        <v>0.0</v>
      </c>
      <c r="F8" s="18">
        <v>0.0</v>
      </c>
      <c r="G8" s="18">
        <v>0.0</v>
      </c>
      <c r="H8" s="18">
        <v>0.0</v>
      </c>
      <c r="I8" s="18">
        <v>0.0</v>
      </c>
      <c r="J8" s="18">
        <v>0.0</v>
      </c>
      <c r="K8" s="18">
        <v>0.0</v>
      </c>
      <c r="L8" s="18">
        <v>0.0</v>
      </c>
      <c r="M8" s="18">
        <v>0.0</v>
      </c>
      <c r="N8" s="18">
        <v>0.0</v>
      </c>
      <c r="O8" s="19">
        <v>1.0</v>
      </c>
      <c r="P8" s="18">
        <f>SUM(OCT_2025!$B8:$O8)</f>
        <v>1</v>
      </c>
    </row>
    <row r="9">
      <c r="A9" s="16">
        <v>45938.0</v>
      </c>
      <c r="B9" s="17">
        <v>0.0</v>
      </c>
      <c r="C9" s="18">
        <v>1.0</v>
      </c>
      <c r="D9" s="18">
        <v>0.0</v>
      </c>
      <c r="E9" s="18">
        <v>0.0</v>
      </c>
      <c r="F9" s="18">
        <v>0.0</v>
      </c>
      <c r="G9" s="18">
        <v>1.0</v>
      </c>
      <c r="H9" s="18">
        <v>2.0</v>
      </c>
      <c r="I9" s="18">
        <v>1.0</v>
      </c>
      <c r="J9" s="18">
        <v>0.0</v>
      </c>
      <c r="K9" s="18">
        <v>3.0</v>
      </c>
      <c r="L9" s="18">
        <v>2.0</v>
      </c>
      <c r="M9" s="18">
        <v>0.0</v>
      </c>
      <c r="N9" s="18">
        <v>0.0</v>
      </c>
      <c r="O9" s="19">
        <v>1.0</v>
      </c>
      <c r="P9" s="18">
        <f>SUM(OCT_2025!$B9:$O9)</f>
        <v>11</v>
      </c>
    </row>
    <row r="10">
      <c r="A10" s="16">
        <v>45939.0</v>
      </c>
      <c r="B10" s="17">
        <v>3.0</v>
      </c>
      <c r="C10" s="18">
        <v>2.0</v>
      </c>
      <c r="D10" s="18">
        <v>1.0</v>
      </c>
      <c r="E10" s="18">
        <v>2.0</v>
      </c>
      <c r="F10" s="18">
        <v>1.0</v>
      </c>
      <c r="G10" s="18">
        <v>1.0</v>
      </c>
      <c r="H10" s="18">
        <v>0.0</v>
      </c>
      <c r="I10" s="18">
        <v>0.0</v>
      </c>
      <c r="J10" s="18">
        <v>2.0</v>
      </c>
      <c r="K10" s="18">
        <v>0.0</v>
      </c>
      <c r="L10" s="18">
        <v>1.0</v>
      </c>
      <c r="M10" s="18">
        <v>2.0</v>
      </c>
      <c r="N10" s="18">
        <v>4.0</v>
      </c>
      <c r="O10" s="19">
        <v>2.0</v>
      </c>
      <c r="P10" s="18">
        <f>SUM(OCT_2025!$B10:$O10)</f>
        <v>21</v>
      </c>
    </row>
    <row r="11">
      <c r="A11" s="16">
        <v>45940.0</v>
      </c>
      <c r="B11" s="17">
        <v>0.0</v>
      </c>
      <c r="C11" s="18">
        <v>0.0</v>
      </c>
      <c r="D11" s="18">
        <v>0.0</v>
      </c>
      <c r="E11" s="18">
        <v>0.0</v>
      </c>
      <c r="F11" s="18">
        <v>0.0</v>
      </c>
      <c r="G11" s="18">
        <v>0.0</v>
      </c>
      <c r="H11" s="18">
        <v>1.0</v>
      </c>
      <c r="I11" s="18">
        <v>1.0</v>
      </c>
      <c r="J11" s="18">
        <v>5.0</v>
      </c>
      <c r="K11" s="18">
        <v>2.0</v>
      </c>
      <c r="L11" s="18">
        <v>1.0</v>
      </c>
      <c r="M11" s="18">
        <v>3.0</v>
      </c>
      <c r="N11" s="18">
        <v>2.0</v>
      </c>
      <c r="O11" s="19">
        <v>2.0</v>
      </c>
      <c r="P11" s="18">
        <f>SUM(OCT_2025!$B11:$O11)</f>
        <v>17</v>
      </c>
    </row>
    <row r="12">
      <c r="A12" s="16">
        <v>45941.0</v>
      </c>
      <c r="B12" s="17">
        <v>0.0</v>
      </c>
      <c r="C12" s="18">
        <v>0.0</v>
      </c>
      <c r="D12" s="18">
        <v>0.0</v>
      </c>
      <c r="E12" s="18">
        <v>0.0</v>
      </c>
      <c r="F12" s="18">
        <v>1.0</v>
      </c>
      <c r="G12" s="18">
        <v>0.0</v>
      </c>
      <c r="H12" s="18">
        <v>0.0</v>
      </c>
      <c r="I12" s="18">
        <v>0.0</v>
      </c>
      <c r="J12" s="18">
        <v>2.0</v>
      </c>
      <c r="K12" s="18">
        <v>0.0</v>
      </c>
      <c r="L12" s="18">
        <v>0.0</v>
      </c>
      <c r="M12" s="18">
        <v>0.0</v>
      </c>
      <c r="N12" s="18">
        <v>0.0</v>
      </c>
      <c r="O12" s="19">
        <v>0.0</v>
      </c>
      <c r="P12" s="18">
        <f>SUM(OCT_2025!$B12:$O12)</f>
        <v>3</v>
      </c>
    </row>
    <row r="13">
      <c r="A13" s="16">
        <v>45942.0</v>
      </c>
      <c r="B13" s="17">
        <v>0.0</v>
      </c>
      <c r="C13" s="18">
        <v>0.0</v>
      </c>
      <c r="D13" s="18">
        <v>0.0</v>
      </c>
      <c r="E13" s="18">
        <v>0.0</v>
      </c>
      <c r="F13" s="18">
        <v>0.0</v>
      </c>
      <c r="G13" s="18">
        <v>0.0</v>
      </c>
      <c r="H13" s="18">
        <v>0.0</v>
      </c>
      <c r="I13" s="18">
        <v>0.0</v>
      </c>
      <c r="J13" s="18">
        <v>0.0</v>
      </c>
      <c r="K13" s="18">
        <v>0.0</v>
      </c>
      <c r="L13" s="18">
        <v>0.0</v>
      </c>
      <c r="M13" s="18">
        <v>1.0</v>
      </c>
      <c r="N13" s="18">
        <v>0.0</v>
      </c>
      <c r="O13" s="19">
        <v>1.0</v>
      </c>
      <c r="P13" s="18">
        <f>SUM(OCT_2025!$B13:$O13)</f>
        <v>2</v>
      </c>
    </row>
    <row r="14">
      <c r="A14" s="16">
        <v>45943.0</v>
      </c>
      <c r="B14" s="17">
        <v>1.0</v>
      </c>
      <c r="C14" s="18">
        <v>1.0</v>
      </c>
      <c r="D14" s="18">
        <v>1.0</v>
      </c>
      <c r="E14" s="18">
        <v>0.0</v>
      </c>
      <c r="F14" s="18">
        <v>2.0</v>
      </c>
      <c r="G14" s="18">
        <v>0.0</v>
      </c>
      <c r="H14" s="18">
        <v>1.0</v>
      </c>
      <c r="I14" s="18">
        <v>0.0</v>
      </c>
      <c r="J14" s="18">
        <v>1.0</v>
      </c>
      <c r="K14" s="18">
        <v>1.0</v>
      </c>
      <c r="L14" s="18">
        <v>1.0</v>
      </c>
      <c r="M14" s="18">
        <v>1.0</v>
      </c>
      <c r="N14" s="18">
        <v>2.0</v>
      </c>
      <c r="O14" s="19">
        <v>0.0</v>
      </c>
      <c r="P14" s="18">
        <f>SUM(OCT_2025!$B14:$O14)</f>
        <v>12</v>
      </c>
    </row>
    <row r="15">
      <c r="A15" s="16">
        <v>45944.0</v>
      </c>
      <c r="B15" s="17">
        <v>0.0</v>
      </c>
      <c r="C15" s="18">
        <v>0.0</v>
      </c>
      <c r="D15" s="18">
        <v>0.0</v>
      </c>
      <c r="E15" s="18">
        <v>0.0</v>
      </c>
      <c r="F15" s="18">
        <v>0.0</v>
      </c>
      <c r="G15" s="18">
        <v>0.0</v>
      </c>
      <c r="H15" s="18">
        <v>0.0</v>
      </c>
      <c r="I15" s="18">
        <v>0.0</v>
      </c>
      <c r="J15" s="18">
        <v>5.0</v>
      </c>
      <c r="K15" s="18">
        <v>0.0</v>
      </c>
      <c r="L15" s="18">
        <v>0.0</v>
      </c>
      <c r="M15" s="18">
        <v>0.0</v>
      </c>
      <c r="N15" s="18">
        <v>1.0</v>
      </c>
      <c r="O15" s="19">
        <v>0.0</v>
      </c>
      <c r="P15" s="18">
        <f>SUM(OCT_2025!$B15:$O15)</f>
        <v>6</v>
      </c>
    </row>
    <row r="16">
      <c r="A16" s="16">
        <v>45945.0</v>
      </c>
      <c r="B16" s="17">
        <v>1.0</v>
      </c>
      <c r="C16" s="18">
        <v>0.0</v>
      </c>
      <c r="D16" s="18">
        <v>0.0</v>
      </c>
      <c r="E16" s="18">
        <v>1.0</v>
      </c>
      <c r="F16" s="18">
        <v>6.0</v>
      </c>
      <c r="G16" s="18">
        <v>3.0</v>
      </c>
      <c r="H16" s="18">
        <v>1.0</v>
      </c>
      <c r="I16" s="18">
        <v>0.0</v>
      </c>
      <c r="J16" s="18">
        <v>4.0</v>
      </c>
      <c r="K16" s="18">
        <v>0.0</v>
      </c>
      <c r="L16" s="18">
        <v>0.0</v>
      </c>
      <c r="M16" s="18">
        <v>4.0</v>
      </c>
      <c r="N16" s="18">
        <v>2.0</v>
      </c>
      <c r="O16" s="19">
        <v>0.0</v>
      </c>
      <c r="P16" s="18">
        <f>SUM(OCT_2025!$B16:$O16)</f>
        <v>22</v>
      </c>
    </row>
    <row r="17">
      <c r="A17" s="16">
        <v>45946.0</v>
      </c>
      <c r="B17" s="17">
        <v>0.0</v>
      </c>
      <c r="C17" s="18">
        <v>0.0</v>
      </c>
      <c r="D17" s="18">
        <v>0.0</v>
      </c>
      <c r="E17" s="18">
        <v>0.0</v>
      </c>
      <c r="F17" s="18">
        <v>11.0</v>
      </c>
      <c r="G17" s="18">
        <v>0.0</v>
      </c>
      <c r="H17" s="18">
        <v>0.0</v>
      </c>
      <c r="I17" s="18">
        <v>1.0</v>
      </c>
      <c r="J17" s="18">
        <v>6.0</v>
      </c>
      <c r="K17" s="18">
        <v>1.0</v>
      </c>
      <c r="L17" s="18">
        <v>1.0</v>
      </c>
      <c r="M17" s="18">
        <v>5.0</v>
      </c>
      <c r="N17" s="18">
        <v>2.0</v>
      </c>
      <c r="O17" s="19">
        <v>0.0</v>
      </c>
      <c r="P17" s="18">
        <f>SUM(OCT_2025!$B17:$O17)</f>
        <v>27</v>
      </c>
    </row>
    <row r="18">
      <c r="A18" s="16">
        <v>45947.0</v>
      </c>
      <c r="B18" s="17">
        <v>0.0</v>
      </c>
      <c r="C18" s="18">
        <v>0.0</v>
      </c>
      <c r="D18" s="18">
        <v>0.0</v>
      </c>
      <c r="E18" s="18">
        <v>2.0</v>
      </c>
      <c r="F18" s="18">
        <v>39.0</v>
      </c>
      <c r="G18" s="18">
        <v>1.0</v>
      </c>
      <c r="H18" s="18">
        <v>0.0</v>
      </c>
      <c r="I18" s="18">
        <v>1.0</v>
      </c>
      <c r="J18" s="18">
        <v>5.0</v>
      </c>
      <c r="K18" s="18">
        <v>1.0</v>
      </c>
      <c r="L18" s="18">
        <v>1.0</v>
      </c>
      <c r="M18" s="18">
        <v>1.0</v>
      </c>
      <c r="N18" s="18">
        <v>9.0</v>
      </c>
      <c r="O18" s="19">
        <v>0.0</v>
      </c>
      <c r="P18" s="18">
        <f>SUM(OCT_2025!$B18:$O18)</f>
        <v>60</v>
      </c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16">
        <v>45948.0</v>
      </c>
      <c r="B19" s="17">
        <v>0.0</v>
      </c>
      <c r="C19" s="18">
        <v>2.0</v>
      </c>
      <c r="D19" s="18">
        <v>0.0</v>
      </c>
      <c r="E19" s="18">
        <v>0.0</v>
      </c>
      <c r="F19" s="18">
        <v>24.0</v>
      </c>
      <c r="G19" s="18">
        <v>1.0</v>
      </c>
      <c r="H19" s="18">
        <v>1.0</v>
      </c>
      <c r="I19" s="18">
        <v>0.0</v>
      </c>
      <c r="J19" s="18">
        <v>13.0</v>
      </c>
      <c r="K19" s="18">
        <v>0.0</v>
      </c>
      <c r="L19" s="18">
        <v>0.0</v>
      </c>
      <c r="M19" s="18">
        <v>1.0</v>
      </c>
      <c r="N19" s="18">
        <v>6.0</v>
      </c>
      <c r="O19" s="19">
        <v>2.0</v>
      </c>
      <c r="P19" s="18">
        <f>SUM(OCT_2025!$B19:$O19)</f>
        <v>50</v>
      </c>
    </row>
    <row r="20">
      <c r="A20" s="16">
        <v>45949.0</v>
      </c>
      <c r="B20" s="17">
        <v>0.0</v>
      </c>
      <c r="C20" s="18">
        <v>2.0</v>
      </c>
      <c r="D20" s="18">
        <v>0.0</v>
      </c>
      <c r="E20" s="18">
        <v>0.0</v>
      </c>
      <c r="F20" s="18">
        <v>28.0</v>
      </c>
      <c r="G20" s="18">
        <v>0.0</v>
      </c>
      <c r="H20" s="18">
        <v>0.0</v>
      </c>
      <c r="I20" s="18">
        <v>1.0</v>
      </c>
      <c r="J20" s="18">
        <v>23.0</v>
      </c>
      <c r="K20" s="18">
        <v>0.0</v>
      </c>
      <c r="L20" s="18">
        <v>0.0</v>
      </c>
      <c r="M20" s="18">
        <v>1.0</v>
      </c>
      <c r="N20" s="18">
        <v>12.0</v>
      </c>
      <c r="O20" s="19">
        <v>1.0</v>
      </c>
      <c r="P20" s="18">
        <f>SUM(OCT_2025!$B20:$O20)</f>
        <v>68</v>
      </c>
    </row>
    <row r="21" ht="15.75" customHeight="1">
      <c r="A21" s="16">
        <v>45950.0</v>
      </c>
      <c r="B21" s="17">
        <v>0.0</v>
      </c>
      <c r="C21" s="18">
        <v>0.0</v>
      </c>
      <c r="D21" s="18">
        <v>2.0</v>
      </c>
      <c r="E21" s="18">
        <v>0.0</v>
      </c>
      <c r="F21" s="18">
        <v>6.0</v>
      </c>
      <c r="G21" s="18">
        <v>0.0</v>
      </c>
      <c r="H21" s="18">
        <v>2.0</v>
      </c>
      <c r="I21" s="18">
        <v>0.0</v>
      </c>
      <c r="J21" s="18">
        <v>0.0</v>
      </c>
      <c r="K21" s="18">
        <v>0.0</v>
      </c>
      <c r="L21" s="18">
        <v>0.0</v>
      </c>
      <c r="M21" s="18">
        <v>0.0</v>
      </c>
      <c r="N21" s="18">
        <v>6.0</v>
      </c>
      <c r="O21" s="19">
        <v>0.0</v>
      </c>
      <c r="P21" s="18">
        <f>SUM(OCT_2025!$B21:$O21)</f>
        <v>16</v>
      </c>
    </row>
    <row r="22" ht="15.75" customHeight="1">
      <c r="A22" s="16">
        <v>45951.0</v>
      </c>
      <c r="B22" s="17">
        <v>2.0</v>
      </c>
      <c r="C22" s="18">
        <v>0.0</v>
      </c>
      <c r="D22" s="18">
        <v>0.0</v>
      </c>
      <c r="E22" s="18">
        <v>2.0</v>
      </c>
      <c r="F22" s="18">
        <v>17.0</v>
      </c>
      <c r="G22" s="18">
        <v>0.0</v>
      </c>
      <c r="H22" s="18">
        <v>1.0</v>
      </c>
      <c r="I22" s="18">
        <v>2.0</v>
      </c>
      <c r="J22" s="18">
        <v>3.0</v>
      </c>
      <c r="K22" s="18">
        <v>2.0</v>
      </c>
      <c r="L22" s="18">
        <v>2.0</v>
      </c>
      <c r="M22" s="18">
        <v>0.0</v>
      </c>
      <c r="N22" s="18">
        <v>13.0</v>
      </c>
      <c r="O22" s="19">
        <v>0.0</v>
      </c>
      <c r="P22" s="18">
        <f>SUM(OCT_2025!$B22:$O22)</f>
        <v>44</v>
      </c>
    </row>
    <row r="23" ht="15.75" customHeight="1">
      <c r="A23" s="16">
        <v>45952.0</v>
      </c>
      <c r="B23" s="17">
        <v>2.0</v>
      </c>
      <c r="C23" s="18">
        <v>0.0</v>
      </c>
      <c r="D23" s="18">
        <v>0.0</v>
      </c>
      <c r="E23" s="18">
        <v>1.0</v>
      </c>
      <c r="F23" s="18">
        <v>72.0</v>
      </c>
      <c r="G23" s="18">
        <v>2.0</v>
      </c>
      <c r="H23" s="18">
        <v>0.0</v>
      </c>
      <c r="I23" s="18">
        <v>0.0</v>
      </c>
      <c r="J23" s="18">
        <v>3.0</v>
      </c>
      <c r="K23" s="18">
        <v>0.0</v>
      </c>
      <c r="L23" s="18">
        <v>0.0</v>
      </c>
      <c r="M23" s="18">
        <v>2.0</v>
      </c>
      <c r="N23" s="18">
        <v>4.0</v>
      </c>
      <c r="O23" s="19">
        <v>4.0</v>
      </c>
      <c r="P23" s="18">
        <f>SUM(OCT_2025!$B23:$O23)</f>
        <v>90</v>
      </c>
    </row>
    <row r="24" ht="15.75" customHeight="1">
      <c r="A24" s="16">
        <v>45953.0</v>
      </c>
      <c r="B24" s="17">
        <v>0.0</v>
      </c>
      <c r="C24" s="18">
        <v>1.0</v>
      </c>
      <c r="D24" s="18">
        <v>1.0</v>
      </c>
      <c r="E24" s="18">
        <v>0.0</v>
      </c>
      <c r="F24" s="18">
        <v>44.0</v>
      </c>
      <c r="G24" s="18">
        <v>1.0</v>
      </c>
      <c r="H24" s="18">
        <v>0.0</v>
      </c>
      <c r="I24" s="18">
        <v>0.0</v>
      </c>
      <c r="J24" s="18">
        <v>11.0</v>
      </c>
      <c r="K24" s="18">
        <v>0.0</v>
      </c>
      <c r="L24" s="18">
        <v>1.0</v>
      </c>
      <c r="M24" s="18">
        <v>1.0</v>
      </c>
      <c r="N24" s="18">
        <v>44.0</v>
      </c>
      <c r="O24" s="19">
        <v>3.0</v>
      </c>
      <c r="P24" s="18">
        <f>SUM(OCT_2025!$B24:$O24)</f>
        <v>107</v>
      </c>
    </row>
    <row r="25" ht="15.75" customHeight="1">
      <c r="A25" s="16">
        <v>45954.0</v>
      </c>
      <c r="B25" s="17">
        <v>0.0</v>
      </c>
      <c r="C25" s="18">
        <v>0.0</v>
      </c>
      <c r="D25" s="18">
        <v>0.0</v>
      </c>
      <c r="E25" s="18">
        <v>1.0</v>
      </c>
      <c r="F25" s="18">
        <v>20.0</v>
      </c>
      <c r="G25" s="18">
        <v>0.0</v>
      </c>
      <c r="H25" s="18">
        <v>0.0</v>
      </c>
      <c r="I25" s="18">
        <v>0.0</v>
      </c>
      <c r="J25" s="18">
        <v>12.0</v>
      </c>
      <c r="K25" s="18">
        <v>0.0</v>
      </c>
      <c r="L25" s="18">
        <v>0.0</v>
      </c>
      <c r="M25" s="18">
        <v>0.0</v>
      </c>
      <c r="N25" s="18">
        <v>20.0</v>
      </c>
      <c r="O25" s="19">
        <v>0.0</v>
      </c>
      <c r="P25" s="18">
        <f>SUM(OCT_2025!$B25:$O25)</f>
        <v>53</v>
      </c>
    </row>
    <row r="26" ht="15.75" customHeight="1">
      <c r="A26" s="16">
        <v>45955.0</v>
      </c>
      <c r="B26" s="17">
        <v>0.0</v>
      </c>
      <c r="C26" s="18">
        <v>0.0</v>
      </c>
      <c r="D26" s="18">
        <v>0.0</v>
      </c>
      <c r="E26" s="18">
        <v>0.0</v>
      </c>
      <c r="F26" s="18">
        <v>25.0</v>
      </c>
      <c r="G26" s="18">
        <v>0.0</v>
      </c>
      <c r="H26" s="18">
        <v>1.0</v>
      </c>
      <c r="I26" s="18">
        <v>0.0</v>
      </c>
      <c r="J26" s="18">
        <v>9.0</v>
      </c>
      <c r="K26" s="18">
        <v>0.0</v>
      </c>
      <c r="L26" s="18">
        <v>0.0</v>
      </c>
      <c r="M26" s="18">
        <v>0.0</v>
      </c>
      <c r="N26" s="18">
        <v>15.0</v>
      </c>
      <c r="O26" s="19">
        <v>0.0</v>
      </c>
      <c r="P26" s="18">
        <f>SUM(OCT_2025!$B26:$O26)</f>
        <v>50</v>
      </c>
    </row>
    <row r="27" ht="15.75" customHeight="1">
      <c r="A27" s="16">
        <v>45956.0</v>
      </c>
      <c r="B27" s="17">
        <v>0.0</v>
      </c>
      <c r="C27" s="18">
        <v>0.0</v>
      </c>
      <c r="D27" s="18">
        <v>0.0</v>
      </c>
      <c r="E27" s="18">
        <v>0.0</v>
      </c>
      <c r="F27" s="18">
        <v>50.0</v>
      </c>
      <c r="G27" s="18">
        <v>0.0</v>
      </c>
      <c r="H27" s="18">
        <v>0.0</v>
      </c>
      <c r="I27" s="18">
        <v>1.0</v>
      </c>
      <c r="J27" s="18">
        <v>12.0</v>
      </c>
      <c r="K27" s="18">
        <v>0.0</v>
      </c>
      <c r="L27" s="18">
        <v>1.0</v>
      </c>
      <c r="M27" s="18">
        <v>0.0</v>
      </c>
      <c r="N27" s="18">
        <v>10.0</v>
      </c>
      <c r="O27" s="19">
        <v>0.0</v>
      </c>
      <c r="P27" s="18">
        <f>SUM(OCT_2025!$B27:$O27)</f>
        <v>74</v>
      </c>
    </row>
    <row r="28" ht="15.75" customHeight="1">
      <c r="A28" s="16">
        <v>45957.0</v>
      </c>
      <c r="B28" s="17">
        <v>6.0</v>
      </c>
      <c r="C28" s="18">
        <v>3.0</v>
      </c>
      <c r="D28" s="18">
        <v>1.0</v>
      </c>
      <c r="E28" s="18">
        <v>0.0</v>
      </c>
      <c r="F28" s="18">
        <v>88.0</v>
      </c>
      <c r="G28" s="18">
        <v>0.0</v>
      </c>
      <c r="H28" s="18">
        <v>0.0</v>
      </c>
      <c r="I28" s="18">
        <v>0.0</v>
      </c>
      <c r="J28" s="18">
        <v>17.0</v>
      </c>
      <c r="K28" s="18">
        <v>1.0</v>
      </c>
      <c r="L28" s="18">
        <v>1.0</v>
      </c>
      <c r="M28" s="18">
        <v>3.0</v>
      </c>
      <c r="N28" s="18">
        <v>19.0</v>
      </c>
      <c r="O28" s="19">
        <v>1.0</v>
      </c>
      <c r="P28" s="18">
        <f>SUM(OCT_2025!$B28:$O28)</f>
        <v>140</v>
      </c>
    </row>
    <row r="29" ht="15.75" customHeight="1">
      <c r="A29" s="16">
        <v>45958.0</v>
      </c>
      <c r="B29" s="17">
        <v>1.0</v>
      </c>
      <c r="C29" s="18">
        <v>0.0</v>
      </c>
      <c r="D29" s="18">
        <v>0.0</v>
      </c>
      <c r="E29" s="18">
        <v>1.0</v>
      </c>
      <c r="F29" s="18">
        <v>11.0</v>
      </c>
      <c r="G29" s="18">
        <v>0.0</v>
      </c>
      <c r="H29" s="18">
        <v>1.0</v>
      </c>
      <c r="I29" s="18">
        <v>1.0</v>
      </c>
      <c r="J29" s="18">
        <v>10.0</v>
      </c>
      <c r="K29" s="18">
        <v>0.0</v>
      </c>
      <c r="L29" s="18">
        <v>4.0</v>
      </c>
      <c r="M29" s="18">
        <v>1.0</v>
      </c>
      <c r="N29" s="18">
        <v>4.0</v>
      </c>
      <c r="O29" s="19">
        <v>1.0</v>
      </c>
      <c r="P29" s="18">
        <f>SUM(OCT_2025!$B29:$O29)</f>
        <v>35</v>
      </c>
    </row>
    <row r="30" ht="15.75" customHeight="1">
      <c r="A30" s="16">
        <v>45959.0</v>
      </c>
      <c r="B30" s="17">
        <v>2.0</v>
      </c>
      <c r="C30" s="18">
        <v>0.0</v>
      </c>
      <c r="D30" s="18">
        <v>0.0</v>
      </c>
      <c r="E30" s="18">
        <v>0.0</v>
      </c>
      <c r="F30" s="18">
        <v>5.0</v>
      </c>
      <c r="G30" s="18">
        <v>0.0</v>
      </c>
      <c r="H30" s="18">
        <v>0.0</v>
      </c>
      <c r="I30" s="18">
        <v>1.0</v>
      </c>
      <c r="J30" s="18">
        <v>5.0</v>
      </c>
      <c r="K30" s="18">
        <v>0.0</v>
      </c>
      <c r="L30" s="18">
        <v>4.0</v>
      </c>
      <c r="M30" s="18">
        <v>0.0</v>
      </c>
      <c r="N30" s="18">
        <v>2.0</v>
      </c>
      <c r="O30" s="19">
        <v>0.0</v>
      </c>
      <c r="P30" s="18">
        <f>SUM(OCT_2025!$B30:$O30)</f>
        <v>19</v>
      </c>
    </row>
    <row r="31" ht="15.75" customHeight="1">
      <c r="A31" s="16">
        <v>45960.0</v>
      </c>
      <c r="B31" s="17">
        <v>0.0</v>
      </c>
      <c r="C31" s="18">
        <v>0.0</v>
      </c>
      <c r="D31" s="18">
        <v>0.0</v>
      </c>
      <c r="E31" s="18">
        <v>0.0</v>
      </c>
      <c r="F31" s="18">
        <v>2.0</v>
      </c>
      <c r="G31" s="18">
        <v>1.0</v>
      </c>
      <c r="H31" s="18">
        <v>0.0</v>
      </c>
      <c r="I31" s="18">
        <v>4.0</v>
      </c>
      <c r="J31" s="18">
        <v>3.0</v>
      </c>
      <c r="K31" s="18">
        <v>2.0</v>
      </c>
      <c r="L31" s="18">
        <v>1.0</v>
      </c>
      <c r="M31" s="18">
        <v>0.0</v>
      </c>
      <c r="N31" s="18">
        <v>4.0</v>
      </c>
      <c r="O31" s="19">
        <v>6.0</v>
      </c>
      <c r="P31" s="18">
        <f>SUM(OCT_2025!$B31:$O31)</f>
        <v>23</v>
      </c>
    </row>
    <row r="32" ht="15.75" customHeight="1">
      <c r="A32" s="16">
        <v>45961.0</v>
      </c>
      <c r="B32" s="22">
        <v>0.0</v>
      </c>
      <c r="C32" s="23">
        <v>0.0</v>
      </c>
      <c r="D32" s="23">
        <v>0.0</v>
      </c>
      <c r="E32" s="23">
        <v>0.0</v>
      </c>
      <c r="F32" s="23">
        <v>1.0</v>
      </c>
      <c r="G32" s="23">
        <v>0.0</v>
      </c>
      <c r="H32" s="23">
        <v>0.0</v>
      </c>
      <c r="I32" s="23">
        <v>0.0</v>
      </c>
      <c r="J32" s="23">
        <v>1.0</v>
      </c>
      <c r="K32" s="23">
        <v>0.0</v>
      </c>
      <c r="L32" s="23">
        <v>0.0</v>
      </c>
      <c r="M32" s="23">
        <v>0.0</v>
      </c>
      <c r="N32" s="23">
        <v>3.0</v>
      </c>
      <c r="O32" s="24">
        <v>0.0</v>
      </c>
      <c r="P32" s="23">
        <f>SUM(OCT_2025!$B32:$O32)</f>
        <v>5</v>
      </c>
    </row>
    <row r="33" ht="15.75" customHeight="1">
      <c r="A33" s="22" t="s">
        <v>27</v>
      </c>
      <c r="B33" s="22">
        <f>SUBTOTAL(109,OCT_2025!$B$2:$B$32)</f>
        <v>39</v>
      </c>
      <c r="C33" s="23">
        <f>SUBTOTAL(109,OCT_2025!$C$2:$C$32)</f>
        <v>39</v>
      </c>
      <c r="D33" s="23">
        <f>SUBTOTAL(109,OCT_2025!$D$2:$D$32)</f>
        <v>178</v>
      </c>
      <c r="E33" s="23">
        <f>SUBTOTAL(109,OCT_2025!$E$2:$E$32)</f>
        <v>226</v>
      </c>
      <c r="F33" s="23">
        <f>SUBTOTAL(109,OCT_2025!$F$2:$F$32)</f>
        <v>468</v>
      </c>
      <c r="G33" s="23">
        <f>SUBTOTAL(109,OCT_2025!$G$2:$G$32)</f>
        <v>1101</v>
      </c>
      <c r="H33" s="23">
        <f>SUBTOTAL(109,OCT_2025!$H$2:$H$32)</f>
        <v>27</v>
      </c>
      <c r="I33" s="23">
        <f>SUBTOTAL(109,OCT_2025!$I$2:$I$32)</f>
        <v>461</v>
      </c>
      <c r="J33" s="23">
        <f>SUBTOTAL(109,OCT_2025!$J$2:$J$32)</f>
        <v>165</v>
      </c>
      <c r="K33" s="23">
        <f>SUBTOTAL(109,OCT_2025!$K$2:$K$32)</f>
        <v>20</v>
      </c>
      <c r="L33" s="23">
        <f>SUBTOTAL(109,OCT_2025!$L$2:$L$32)</f>
        <v>54</v>
      </c>
      <c r="M33" s="23">
        <f>SUBTOTAL(109,OCT_2025!$M$2:$M$32)</f>
        <v>44</v>
      </c>
      <c r="N33" s="23">
        <f>SUBTOTAL(109,OCT_2025!$N$2:$N$32)</f>
        <v>213</v>
      </c>
      <c r="O33" s="24">
        <f>SUBTOTAL(109,OCT_2025!$O$2:$O$32)</f>
        <v>62</v>
      </c>
      <c r="P33" s="23">
        <f>SUBTOTAL(109,OCT_2025!$P$2:$P$32)</f>
        <v>3097</v>
      </c>
    </row>
    <row r="34" ht="15.75" customHeight="1">
      <c r="A34" s="25"/>
      <c r="C34" s="21"/>
    </row>
    <row r="35" ht="15.75" customHeight="1">
      <c r="A35" s="25"/>
      <c r="C35" s="21"/>
    </row>
    <row r="36" ht="15.75" customHeight="1">
      <c r="A36" s="25"/>
      <c r="C36" s="21"/>
    </row>
    <row r="37" ht="15.75" customHeight="1">
      <c r="A37" s="25"/>
      <c r="C37" s="21"/>
    </row>
    <row r="38" ht="15.75" customHeight="1">
      <c r="A38" s="25"/>
      <c r="C38" s="21"/>
    </row>
    <row r="39" ht="15.75" customHeight="1">
      <c r="A39" s="25"/>
      <c r="C39" s="21"/>
    </row>
    <row r="40" ht="15.75" customHeight="1">
      <c r="A40" s="25"/>
      <c r="C40" s="21"/>
    </row>
    <row r="41" ht="15.75" customHeight="1">
      <c r="A41" s="25"/>
      <c r="C41" s="21"/>
    </row>
    <row r="42" ht="15.75" customHeight="1">
      <c r="A42" s="25"/>
      <c r="C42" s="21"/>
    </row>
    <row r="43" ht="15.75" customHeight="1">
      <c r="A43" s="25"/>
      <c r="C43" s="21"/>
    </row>
    <row r="44" ht="15.75" customHeight="1">
      <c r="A44" s="25"/>
      <c r="C44" s="21"/>
    </row>
    <row r="45" ht="15.75" customHeight="1">
      <c r="A45" s="25"/>
      <c r="C45" s="21"/>
    </row>
    <row r="46" ht="15.75" customHeight="1">
      <c r="A46" s="25"/>
      <c r="C46" s="21"/>
    </row>
    <row r="47" ht="15.75" customHeight="1">
      <c r="A47" s="25"/>
      <c r="C47" s="21"/>
    </row>
    <row r="48" ht="15.75" customHeight="1">
      <c r="A48" s="25"/>
      <c r="C48" s="21"/>
    </row>
    <row r="49" ht="15.75" customHeight="1">
      <c r="A49" s="25"/>
      <c r="C49" s="21"/>
    </row>
    <row r="50" ht="15.75" customHeight="1">
      <c r="A50" s="25"/>
      <c r="C50" s="21"/>
    </row>
    <row r="51" ht="15.75" customHeight="1">
      <c r="A51" s="25"/>
      <c r="C51" s="21"/>
    </row>
    <row r="52" ht="15.75" customHeight="1">
      <c r="A52" s="25"/>
      <c r="C52" s="21"/>
    </row>
    <row r="53" ht="15.75" customHeight="1">
      <c r="A53" s="25"/>
      <c r="C53" s="21"/>
    </row>
    <row r="54" ht="15.75" customHeight="1">
      <c r="A54" s="25"/>
      <c r="C54" s="21"/>
    </row>
    <row r="55" ht="15.75" customHeight="1">
      <c r="A55" s="25"/>
      <c r="C55" s="21"/>
    </row>
    <row r="56" ht="15.75" customHeight="1">
      <c r="A56" s="25"/>
      <c r="C56" s="21"/>
    </row>
    <row r="57" ht="15.75" customHeight="1">
      <c r="A57" s="25"/>
      <c r="C57" s="21"/>
    </row>
    <row r="58" ht="15.75" customHeight="1">
      <c r="A58" s="25"/>
      <c r="C58" s="21"/>
    </row>
    <row r="59" ht="15.75" customHeight="1">
      <c r="A59" s="25"/>
      <c r="C59" s="21"/>
    </row>
    <row r="60" ht="15.75" customHeight="1">
      <c r="A60" s="25"/>
      <c r="C60" s="21"/>
    </row>
    <row r="61" ht="15.75" customHeight="1">
      <c r="A61" s="25"/>
      <c r="C61" s="21"/>
    </row>
    <row r="62" ht="15.75" customHeight="1">
      <c r="A62" s="25"/>
      <c r="C62" s="21"/>
    </row>
    <row r="63" ht="15.75" customHeight="1">
      <c r="A63" s="25"/>
      <c r="C63" s="21"/>
    </row>
    <row r="64" ht="15.75" customHeight="1">
      <c r="A64" s="25"/>
      <c r="C64" s="21"/>
    </row>
    <row r="65" ht="15.75" customHeight="1">
      <c r="A65" s="25"/>
      <c r="C65" s="21"/>
    </row>
    <row r="66" ht="15.75" customHeight="1">
      <c r="A66" s="25"/>
      <c r="C66" s="21"/>
    </row>
    <row r="67" ht="15.75" customHeight="1">
      <c r="A67" s="25"/>
      <c r="C67" s="21"/>
    </row>
    <row r="68" ht="15.75" customHeight="1">
      <c r="A68" s="25"/>
      <c r="C68" s="21"/>
    </row>
    <row r="69" ht="15.75" customHeight="1">
      <c r="A69" s="25"/>
      <c r="C69" s="21"/>
    </row>
    <row r="70" ht="15.75" customHeight="1">
      <c r="A70" s="25"/>
      <c r="C70" s="21"/>
    </row>
    <row r="71" ht="15.75" customHeight="1">
      <c r="A71" s="25"/>
      <c r="C71" s="21"/>
    </row>
    <row r="72" ht="15.75" customHeight="1">
      <c r="A72" s="25"/>
      <c r="C72" s="21"/>
    </row>
    <row r="73" ht="15.75" customHeight="1">
      <c r="A73" s="25"/>
      <c r="C73" s="21"/>
    </row>
    <row r="74" ht="15.75" customHeight="1">
      <c r="A74" s="25"/>
      <c r="C74" s="21"/>
    </row>
    <row r="75" ht="15.75" customHeight="1">
      <c r="A75" s="25"/>
      <c r="C75" s="21"/>
    </row>
    <row r="76" ht="15.75" customHeight="1">
      <c r="A76" s="25"/>
      <c r="C76" s="21"/>
    </row>
    <row r="77" ht="15.75" customHeight="1">
      <c r="A77" s="25"/>
      <c r="C77" s="21"/>
    </row>
    <row r="78" ht="15.75" customHeight="1">
      <c r="A78" s="25"/>
      <c r="C78" s="21"/>
    </row>
    <row r="79" ht="15.75" customHeight="1">
      <c r="A79" s="25"/>
      <c r="C79" s="21"/>
    </row>
    <row r="80" ht="15.75" customHeight="1">
      <c r="A80" s="25"/>
      <c r="C80" s="21"/>
    </row>
    <row r="81" ht="15.75" customHeight="1">
      <c r="A81" s="25"/>
      <c r="C81" s="21"/>
    </row>
    <row r="82" ht="15.75" customHeight="1">
      <c r="A82" s="25"/>
      <c r="C82" s="21"/>
    </row>
    <row r="83" ht="15.75" customHeight="1">
      <c r="A83" s="25"/>
      <c r="C83" s="21"/>
    </row>
    <row r="84" ht="15.75" customHeight="1">
      <c r="A84" s="25"/>
      <c r="C84" s="21"/>
    </row>
    <row r="85" ht="15.75" customHeight="1">
      <c r="A85" s="25"/>
      <c r="C85" s="21"/>
    </row>
    <row r="86" ht="15.75" customHeight="1">
      <c r="A86" s="25"/>
      <c r="C86" s="21"/>
    </row>
    <row r="87" ht="15.75" customHeight="1">
      <c r="A87" s="25"/>
      <c r="C87" s="21"/>
    </row>
    <row r="88" ht="15.75" customHeight="1">
      <c r="A88" s="25"/>
      <c r="C88" s="21"/>
    </row>
    <row r="89" ht="15.75" customHeight="1">
      <c r="A89" s="25"/>
      <c r="C89" s="21"/>
    </row>
    <row r="90" ht="15.75" customHeight="1">
      <c r="A90" s="25"/>
      <c r="C90" s="21"/>
    </row>
    <row r="91" ht="15.75" customHeight="1">
      <c r="A91" s="25"/>
      <c r="C91" s="21"/>
    </row>
    <row r="92" ht="15.75" customHeight="1">
      <c r="A92" s="25"/>
      <c r="C92" s="21"/>
    </row>
    <row r="93" ht="15.75" customHeight="1">
      <c r="A93" s="25"/>
      <c r="C93" s="21"/>
    </row>
    <row r="94" ht="15.75" customHeight="1">
      <c r="A94" s="25"/>
      <c r="C94" s="21"/>
    </row>
    <row r="95" ht="15.75" customHeight="1">
      <c r="A95" s="25"/>
      <c r="C95" s="21"/>
    </row>
    <row r="96" ht="15.75" customHeight="1">
      <c r="A96" s="25"/>
      <c r="C96" s="21"/>
    </row>
    <row r="97" ht="15.75" customHeight="1">
      <c r="A97" s="25"/>
      <c r="C97" s="21"/>
    </row>
    <row r="98" ht="15.75" customHeight="1">
      <c r="A98" s="25"/>
      <c r="C98" s="21"/>
    </row>
    <row r="99" ht="15.75" customHeight="1">
      <c r="A99" s="25"/>
      <c r="C99" s="21"/>
    </row>
    <row r="100" ht="15.75" customHeight="1">
      <c r="A100" s="25"/>
      <c r="C100" s="21"/>
    </row>
    <row r="101" ht="15.75" customHeight="1">
      <c r="A101" s="25"/>
      <c r="C101" s="21"/>
    </row>
    <row r="102" ht="15.75" customHeight="1">
      <c r="A102" s="25"/>
      <c r="C102" s="21"/>
    </row>
    <row r="103" ht="15.75" customHeight="1">
      <c r="A103" s="25"/>
      <c r="C103" s="21"/>
    </row>
    <row r="104" ht="15.75" customHeight="1">
      <c r="A104" s="25"/>
      <c r="C104" s="21"/>
    </row>
    <row r="105" ht="15.75" customHeight="1">
      <c r="A105" s="25"/>
      <c r="C105" s="21"/>
    </row>
    <row r="106" ht="15.75" customHeight="1">
      <c r="A106" s="25"/>
      <c r="C106" s="21"/>
    </row>
    <row r="107" ht="15.75" customHeight="1">
      <c r="A107" s="25"/>
      <c r="C107" s="21"/>
    </row>
    <row r="108" ht="15.75" customHeight="1">
      <c r="A108" s="25"/>
      <c r="C108" s="21"/>
    </row>
    <row r="109" ht="15.75" customHeight="1">
      <c r="A109" s="25"/>
      <c r="C109" s="21"/>
    </row>
    <row r="110" ht="15.75" customHeight="1">
      <c r="A110" s="25"/>
      <c r="C110" s="21"/>
    </row>
    <row r="111" ht="15.75" customHeight="1">
      <c r="A111" s="25"/>
      <c r="C111" s="21"/>
    </row>
    <row r="112" ht="15.75" customHeight="1">
      <c r="A112" s="25"/>
      <c r="C112" s="21"/>
    </row>
    <row r="113" ht="15.75" customHeight="1">
      <c r="A113" s="25"/>
      <c r="C113" s="21"/>
    </row>
    <row r="114" ht="15.75" customHeight="1">
      <c r="A114" s="25"/>
      <c r="C114" s="21"/>
    </row>
    <row r="115" ht="15.75" customHeight="1">
      <c r="A115" s="25"/>
      <c r="C115" s="21"/>
    </row>
    <row r="116" ht="15.75" customHeight="1">
      <c r="A116" s="25"/>
      <c r="C116" s="21"/>
    </row>
    <row r="117" ht="15.75" customHeight="1">
      <c r="A117" s="25"/>
      <c r="C117" s="21"/>
    </row>
    <row r="118" ht="15.75" customHeight="1">
      <c r="A118" s="25"/>
      <c r="C118" s="21"/>
    </row>
    <row r="119" ht="15.75" customHeight="1">
      <c r="A119" s="25"/>
      <c r="C119" s="21"/>
    </row>
    <row r="120" ht="15.75" customHeight="1">
      <c r="A120" s="25"/>
      <c r="C120" s="21"/>
    </row>
    <row r="121" ht="15.75" customHeight="1">
      <c r="A121" s="25"/>
      <c r="C121" s="21"/>
    </row>
    <row r="122" ht="15.75" customHeight="1">
      <c r="A122" s="25"/>
      <c r="C122" s="21"/>
    </row>
    <row r="123" ht="15.75" customHeight="1">
      <c r="A123" s="25"/>
      <c r="C123" s="21"/>
    </row>
    <row r="124" ht="15.75" customHeight="1">
      <c r="A124" s="25"/>
      <c r="C124" s="21"/>
    </row>
    <row r="125" ht="15.75" customHeight="1">
      <c r="A125" s="25"/>
      <c r="C125" s="21"/>
    </row>
    <row r="126" ht="15.75" customHeight="1">
      <c r="A126" s="25"/>
      <c r="C126" s="21"/>
    </row>
    <row r="127" ht="15.75" customHeight="1">
      <c r="A127" s="25"/>
      <c r="C127" s="21"/>
    </row>
    <row r="128" ht="15.75" customHeight="1">
      <c r="A128" s="25"/>
      <c r="C128" s="21"/>
    </row>
    <row r="129" ht="15.75" customHeight="1">
      <c r="A129" s="25"/>
      <c r="C129" s="21"/>
    </row>
    <row r="130" ht="15.75" customHeight="1">
      <c r="A130" s="25"/>
      <c r="C130" s="21"/>
    </row>
    <row r="131" ht="15.75" customHeight="1">
      <c r="A131" s="25"/>
      <c r="C131" s="21"/>
    </row>
    <row r="132" ht="15.75" customHeight="1">
      <c r="A132" s="25"/>
      <c r="C132" s="21"/>
    </row>
    <row r="133" ht="15.75" customHeight="1">
      <c r="A133" s="25"/>
      <c r="C133" s="21"/>
    </row>
    <row r="134" ht="15.75" customHeight="1">
      <c r="A134" s="25"/>
      <c r="C134" s="21"/>
    </row>
    <row r="135" ht="15.75" customHeight="1">
      <c r="A135" s="25"/>
      <c r="C135" s="21"/>
    </row>
    <row r="136" ht="15.75" customHeight="1">
      <c r="A136" s="25"/>
      <c r="C136" s="21"/>
    </row>
    <row r="137" ht="15.75" customHeight="1">
      <c r="A137" s="25"/>
      <c r="C137" s="21"/>
    </row>
    <row r="138" ht="15.75" customHeight="1">
      <c r="A138" s="25"/>
      <c r="C138" s="21"/>
    </row>
    <row r="139" ht="15.75" customHeight="1">
      <c r="A139" s="25"/>
      <c r="C139" s="21"/>
    </row>
    <row r="140" ht="15.75" customHeight="1">
      <c r="A140" s="25"/>
      <c r="C140" s="21"/>
    </row>
    <row r="141" ht="15.75" customHeight="1">
      <c r="A141" s="25"/>
      <c r="C141" s="21"/>
    </row>
    <row r="142" ht="15.75" customHeight="1">
      <c r="A142" s="25"/>
      <c r="C142" s="21"/>
    </row>
    <row r="143" ht="15.75" customHeight="1">
      <c r="A143" s="25"/>
      <c r="C143" s="21"/>
    </row>
    <row r="144" ht="15.75" customHeight="1">
      <c r="A144" s="25"/>
      <c r="C144" s="21"/>
    </row>
    <row r="145" ht="15.75" customHeight="1">
      <c r="A145" s="25"/>
      <c r="C145" s="21"/>
    </row>
    <row r="146" ht="15.75" customHeight="1">
      <c r="A146" s="25"/>
      <c r="C146" s="21"/>
    </row>
    <row r="147" ht="15.75" customHeight="1">
      <c r="A147" s="25"/>
      <c r="C147" s="21"/>
    </row>
    <row r="148" ht="15.75" customHeight="1">
      <c r="A148" s="25"/>
      <c r="C148" s="21"/>
    </row>
    <row r="149" ht="15.75" customHeight="1">
      <c r="A149" s="25"/>
      <c r="C149" s="21"/>
    </row>
    <row r="150" ht="15.75" customHeight="1">
      <c r="A150" s="25"/>
      <c r="C150" s="21"/>
    </row>
    <row r="151" ht="15.75" customHeight="1">
      <c r="A151" s="25"/>
      <c r="C151" s="21"/>
    </row>
    <row r="152" ht="15.75" customHeight="1">
      <c r="A152" s="25"/>
      <c r="C152" s="21"/>
    </row>
    <row r="153" ht="15.75" customHeight="1">
      <c r="A153" s="25"/>
      <c r="C153" s="21"/>
    </row>
    <row r="154" ht="15.75" customHeight="1">
      <c r="A154" s="25"/>
      <c r="C154" s="21"/>
    </row>
    <row r="155" ht="15.75" customHeight="1">
      <c r="A155" s="25"/>
      <c r="C155" s="21"/>
    </row>
    <row r="156" ht="15.75" customHeight="1">
      <c r="A156" s="25"/>
      <c r="C156" s="21"/>
    </row>
    <row r="157" ht="15.75" customHeight="1">
      <c r="A157" s="25"/>
      <c r="C157" s="21"/>
    </row>
    <row r="158" ht="15.75" customHeight="1">
      <c r="A158" s="25"/>
      <c r="C158" s="21"/>
    </row>
    <row r="159" ht="15.75" customHeight="1">
      <c r="A159" s="25"/>
      <c r="C159" s="21"/>
    </row>
    <row r="160" ht="15.75" customHeight="1">
      <c r="A160" s="25"/>
      <c r="C160" s="21"/>
    </row>
    <row r="161" ht="15.75" customHeight="1">
      <c r="A161" s="25"/>
      <c r="C161" s="21"/>
    </row>
    <row r="162" ht="15.75" customHeight="1">
      <c r="A162" s="25"/>
      <c r="C162" s="21"/>
    </row>
    <row r="163" ht="15.75" customHeight="1">
      <c r="A163" s="25"/>
      <c r="C163" s="21"/>
    </row>
    <row r="164" ht="15.75" customHeight="1">
      <c r="A164" s="25"/>
      <c r="C164" s="21"/>
    </row>
    <row r="165" ht="15.75" customHeight="1">
      <c r="A165" s="25"/>
      <c r="C165" s="21"/>
    </row>
    <row r="166" ht="15.75" customHeight="1">
      <c r="A166" s="25"/>
      <c r="C166" s="21"/>
    </row>
    <row r="167" ht="15.75" customHeight="1">
      <c r="A167" s="25"/>
      <c r="C167" s="21"/>
    </row>
    <row r="168" ht="15.75" customHeight="1">
      <c r="A168" s="25"/>
      <c r="C168" s="21"/>
    </row>
    <row r="169" ht="15.75" customHeight="1">
      <c r="A169" s="25"/>
      <c r="C169" s="21"/>
    </row>
    <row r="170" ht="15.75" customHeight="1">
      <c r="A170" s="25"/>
      <c r="C170" s="21"/>
    </row>
    <row r="171" ht="15.75" customHeight="1">
      <c r="A171" s="25"/>
      <c r="C171" s="21"/>
    </row>
    <row r="172" ht="15.75" customHeight="1">
      <c r="A172" s="25"/>
      <c r="C172" s="21"/>
    </row>
    <row r="173" ht="15.75" customHeight="1">
      <c r="A173" s="25"/>
      <c r="C173" s="21"/>
    </row>
    <row r="174" ht="15.75" customHeight="1">
      <c r="A174" s="25"/>
      <c r="C174" s="21"/>
    </row>
    <row r="175" ht="15.75" customHeight="1">
      <c r="A175" s="25"/>
      <c r="C175" s="21"/>
    </row>
    <row r="176" ht="15.75" customHeight="1">
      <c r="A176" s="25"/>
      <c r="C176" s="21"/>
    </row>
    <row r="177" ht="15.75" customHeight="1">
      <c r="A177" s="25"/>
      <c r="C177" s="21"/>
    </row>
    <row r="178" ht="15.75" customHeight="1">
      <c r="A178" s="25"/>
      <c r="C178" s="21"/>
    </row>
    <row r="179" ht="15.75" customHeight="1">
      <c r="A179" s="25"/>
      <c r="C179" s="21"/>
    </row>
    <row r="180" ht="15.75" customHeight="1">
      <c r="A180" s="25"/>
      <c r="C180" s="21"/>
    </row>
    <row r="181" ht="15.75" customHeight="1">
      <c r="A181" s="25"/>
      <c r="C181" s="21"/>
    </row>
    <row r="182" ht="15.75" customHeight="1">
      <c r="A182" s="25"/>
      <c r="C182" s="21"/>
    </row>
    <row r="183" ht="15.75" customHeight="1">
      <c r="A183" s="25"/>
      <c r="C183" s="21"/>
    </row>
    <row r="184" ht="15.75" customHeight="1">
      <c r="A184" s="25"/>
      <c r="C184" s="21"/>
    </row>
    <row r="185" ht="15.75" customHeight="1">
      <c r="A185" s="25"/>
      <c r="C185" s="21"/>
    </row>
    <row r="186" ht="15.75" customHeight="1">
      <c r="A186" s="25"/>
      <c r="C186" s="21"/>
    </row>
    <row r="187" ht="15.75" customHeight="1">
      <c r="A187" s="25"/>
      <c r="C187" s="21"/>
    </row>
    <row r="188" ht="15.75" customHeight="1">
      <c r="A188" s="25"/>
      <c r="C188" s="21"/>
    </row>
    <row r="189" ht="15.75" customHeight="1">
      <c r="A189" s="25"/>
      <c r="C189" s="21"/>
    </row>
    <row r="190" ht="15.75" customHeight="1">
      <c r="A190" s="25"/>
      <c r="C190" s="21"/>
    </row>
    <row r="191" ht="15.75" customHeight="1">
      <c r="A191" s="25"/>
      <c r="C191" s="21"/>
    </row>
    <row r="192" ht="15.75" customHeight="1">
      <c r="A192" s="25"/>
      <c r="C192" s="21"/>
    </row>
    <row r="193" ht="15.75" customHeight="1">
      <c r="A193" s="25"/>
      <c r="C193" s="21"/>
    </row>
    <row r="194" ht="15.75" customHeight="1">
      <c r="A194" s="25"/>
      <c r="C194" s="21"/>
    </row>
    <row r="195" ht="15.75" customHeight="1">
      <c r="A195" s="25"/>
      <c r="C195" s="21"/>
    </row>
    <row r="196" ht="15.75" customHeight="1">
      <c r="A196" s="25"/>
      <c r="C196" s="21"/>
    </row>
    <row r="197" ht="15.75" customHeight="1">
      <c r="A197" s="25"/>
      <c r="C197" s="21"/>
    </row>
    <row r="198" ht="15.75" customHeight="1">
      <c r="A198" s="25"/>
      <c r="C198" s="21"/>
    </row>
    <row r="199" ht="15.75" customHeight="1">
      <c r="A199" s="25"/>
      <c r="C199" s="21"/>
    </row>
    <row r="200" ht="15.75" customHeight="1">
      <c r="A200" s="25"/>
      <c r="C200" s="21"/>
    </row>
    <row r="201" ht="15.75" customHeight="1">
      <c r="A201" s="25"/>
      <c r="C201" s="21"/>
    </row>
    <row r="202" ht="15.75" customHeight="1">
      <c r="A202" s="25"/>
      <c r="C202" s="21"/>
    </row>
    <row r="203" ht="15.75" customHeight="1">
      <c r="A203" s="25"/>
      <c r="C203" s="21"/>
    </row>
    <row r="204" ht="15.75" customHeight="1">
      <c r="A204" s="25"/>
      <c r="C204" s="21"/>
    </row>
    <row r="205" ht="15.75" customHeight="1">
      <c r="A205" s="25"/>
      <c r="C205" s="21"/>
    </row>
    <row r="206" ht="15.75" customHeight="1">
      <c r="A206" s="25"/>
      <c r="C206" s="21"/>
    </row>
    <row r="207" ht="15.75" customHeight="1">
      <c r="A207" s="25"/>
      <c r="C207" s="21"/>
    </row>
    <row r="208" ht="15.75" customHeight="1">
      <c r="A208" s="25"/>
      <c r="C208" s="21"/>
    </row>
    <row r="209" ht="15.75" customHeight="1">
      <c r="A209" s="25"/>
      <c r="C209" s="21"/>
    </row>
    <row r="210" ht="15.75" customHeight="1">
      <c r="A210" s="25"/>
      <c r="C210" s="21"/>
    </row>
    <row r="211" ht="15.75" customHeight="1">
      <c r="A211" s="25"/>
      <c r="C211" s="21"/>
    </row>
    <row r="212" ht="15.75" customHeight="1">
      <c r="A212" s="25"/>
      <c r="C212" s="21"/>
    </row>
    <row r="213" ht="15.75" customHeight="1">
      <c r="A213" s="25"/>
      <c r="C213" s="21"/>
    </row>
    <row r="214" ht="15.75" customHeight="1">
      <c r="A214" s="25"/>
      <c r="C214" s="21"/>
    </row>
    <row r="215" ht="15.75" customHeight="1">
      <c r="A215" s="25"/>
      <c r="C215" s="21"/>
    </row>
    <row r="216" ht="15.75" customHeight="1">
      <c r="A216" s="25"/>
      <c r="C216" s="21"/>
    </row>
    <row r="217" ht="15.75" customHeight="1">
      <c r="A217" s="25"/>
      <c r="C217" s="21"/>
    </row>
    <row r="218" ht="15.75" customHeight="1">
      <c r="A218" s="25"/>
      <c r="C218" s="21"/>
    </row>
    <row r="219" ht="15.75" customHeight="1">
      <c r="A219" s="25"/>
      <c r="C219" s="21"/>
    </row>
    <row r="220" ht="15.75" customHeight="1">
      <c r="A220" s="25"/>
      <c r="C220" s="21"/>
    </row>
    <row r="221" ht="15.75" customHeight="1">
      <c r="A221" s="25"/>
      <c r="C221" s="21"/>
    </row>
    <row r="222" ht="15.75" customHeight="1">
      <c r="A222" s="25"/>
      <c r="C222" s="21"/>
    </row>
    <row r="223" ht="15.75" customHeight="1">
      <c r="A223" s="25"/>
      <c r="C223" s="21"/>
    </row>
    <row r="224" ht="15.75" customHeight="1">
      <c r="A224" s="25"/>
      <c r="C224" s="21"/>
    </row>
    <row r="225" ht="15.75" customHeight="1">
      <c r="A225" s="25"/>
      <c r="C225" s="21"/>
    </row>
    <row r="226" ht="15.75" customHeight="1">
      <c r="A226" s="25"/>
      <c r="C226" s="21"/>
    </row>
    <row r="227" ht="15.75" customHeight="1">
      <c r="A227" s="25"/>
      <c r="C227" s="21"/>
    </row>
    <row r="228" ht="15.75" customHeight="1">
      <c r="A228" s="25"/>
      <c r="C228" s="21"/>
    </row>
    <row r="229" ht="15.75" customHeight="1">
      <c r="A229" s="25"/>
      <c r="C229" s="21"/>
    </row>
    <row r="230" ht="15.75" customHeight="1">
      <c r="A230" s="25"/>
      <c r="C230" s="21"/>
    </row>
    <row r="231" ht="15.75" customHeight="1">
      <c r="A231" s="25"/>
      <c r="C231" s="21"/>
    </row>
    <row r="232" ht="15.75" customHeight="1">
      <c r="A232" s="25"/>
      <c r="C232" s="21"/>
    </row>
    <row r="233" ht="15.75" customHeight="1">
      <c r="A233" s="25"/>
      <c r="C233" s="21"/>
    </row>
    <row r="234" ht="15.75" customHeight="1">
      <c r="A234" s="25"/>
      <c r="C234" s="21"/>
    </row>
    <row r="235" ht="15.75" customHeight="1">
      <c r="A235" s="25"/>
      <c r="C235" s="21"/>
    </row>
    <row r="236" ht="15.75" customHeight="1">
      <c r="A236" s="25"/>
      <c r="C236" s="21"/>
    </row>
    <row r="237" ht="15.75" customHeight="1">
      <c r="A237" s="25"/>
      <c r="C237" s="21"/>
    </row>
    <row r="238" ht="15.75" customHeight="1">
      <c r="A238" s="25"/>
      <c r="C238" s="21"/>
    </row>
    <row r="239" ht="15.75" customHeight="1">
      <c r="A239" s="25"/>
      <c r="C239" s="21"/>
    </row>
    <row r="240" ht="15.75" customHeight="1">
      <c r="A240" s="25"/>
      <c r="C240" s="21"/>
    </row>
    <row r="241" ht="15.75" customHeight="1">
      <c r="A241" s="25"/>
      <c r="C241" s="21"/>
    </row>
    <row r="242" ht="15.75" customHeight="1">
      <c r="A242" s="25"/>
      <c r="C242" s="21"/>
    </row>
    <row r="243" ht="15.75" customHeight="1">
      <c r="A243" s="25"/>
      <c r="C243" s="21"/>
    </row>
    <row r="244" ht="15.75" customHeight="1">
      <c r="A244" s="25"/>
      <c r="C244" s="21"/>
    </row>
    <row r="245" ht="15.75" customHeight="1">
      <c r="A245" s="25"/>
      <c r="C245" s="21"/>
    </row>
    <row r="246" ht="15.75" customHeight="1">
      <c r="A246" s="25"/>
      <c r="C246" s="21"/>
    </row>
    <row r="247" ht="15.75" customHeight="1">
      <c r="A247" s="25"/>
      <c r="C247" s="21"/>
    </row>
    <row r="248" ht="15.75" customHeight="1">
      <c r="A248" s="25"/>
      <c r="C248" s="21"/>
    </row>
    <row r="249" ht="15.75" customHeight="1">
      <c r="A249" s="25"/>
      <c r="C249" s="21"/>
    </row>
    <row r="250" ht="15.75" customHeight="1">
      <c r="A250" s="25"/>
      <c r="C250" s="21"/>
    </row>
    <row r="251" ht="15.75" customHeight="1">
      <c r="A251" s="25"/>
      <c r="C251" s="21"/>
    </row>
    <row r="252" ht="15.75" customHeight="1">
      <c r="A252" s="25"/>
      <c r="C252" s="21"/>
    </row>
    <row r="253" ht="15.75" customHeight="1">
      <c r="A253" s="25"/>
      <c r="C253" s="21"/>
    </row>
    <row r="254" ht="15.75" customHeight="1">
      <c r="A254" s="25"/>
      <c r="C254" s="21"/>
    </row>
    <row r="255" ht="15.75" customHeight="1">
      <c r="A255" s="25"/>
      <c r="C255" s="21"/>
    </row>
    <row r="256" ht="15.75" customHeight="1">
      <c r="A256" s="25"/>
      <c r="C256" s="21"/>
    </row>
    <row r="257" ht="15.75" customHeight="1">
      <c r="A257" s="25"/>
      <c r="C257" s="21"/>
    </row>
    <row r="258" ht="15.75" customHeight="1">
      <c r="A258" s="25"/>
      <c r="C258" s="21"/>
    </row>
    <row r="259" ht="15.75" customHeight="1">
      <c r="A259" s="25"/>
      <c r="C259" s="21"/>
    </row>
    <row r="260" ht="15.75" customHeight="1">
      <c r="A260" s="25"/>
      <c r="C260" s="21"/>
    </row>
    <row r="261" ht="15.75" customHeight="1">
      <c r="A261" s="25"/>
      <c r="C261" s="21"/>
    </row>
    <row r="262" ht="15.75" customHeight="1">
      <c r="A262" s="25"/>
      <c r="C262" s="21"/>
    </row>
    <row r="263" ht="15.75" customHeight="1">
      <c r="A263" s="25"/>
      <c r="C263" s="21"/>
    </row>
    <row r="264" ht="15.75" customHeight="1">
      <c r="A264" s="25"/>
      <c r="C264" s="21"/>
    </row>
    <row r="265" ht="15.75" customHeight="1">
      <c r="A265" s="25"/>
      <c r="C265" s="21"/>
    </row>
    <row r="266" ht="15.75" customHeight="1">
      <c r="A266" s="25"/>
      <c r="C266" s="21"/>
    </row>
    <row r="267" ht="15.75" customHeight="1">
      <c r="A267" s="25"/>
      <c r="C267" s="21"/>
    </row>
    <row r="268" ht="15.75" customHeight="1">
      <c r="A268" s="25"/>
      <c r="C268" s="21"/>
    </row>
    <row r="269" ht="15.75" customHeight="1">
      <c r="A269" s="25"/>
      <c r="C269" s="21"/>
    </row>
    <row r="270" ht="15.75" customHeight="1">
      <c r="A270" s="25"/>
      <c r="C270" s="21"/>
    </row>
    <row r="271" ht="15.75" customHeight="1">
      <c r="A271" s="25"/>
      <c r="C271" s="21"/>
    </row>
    <row r="272" ht="15.75" customHeight="1">
      <c r="A272" s="25"/>
      <c r="C272" s="21"/>
    </row>
    <row r="273" ht="15.75" customHeight="1">
      <c r="A273" s="25"/>
      <c r="C273" s="21"/>
    </row>
    <row r="274" ht="15.75" customHeight="1">
      <c r="A274" s="25"/>
      <c r="C274" s="21"/>
    </row>
    <row r="275" ht="15.75" customHeight="1">
      <c r="A275" s="25"/>
      <c r="C275" s="21"/>
    </row>
    <row r="276" ht="15.75" customHeight="1">
      <c r="A276" s="25"/>
      <c r="C276" s="21"/>
    </row>
    <row r="277" ht="15.75" customHeight="1">
      <c r="A277" s="25"/>
      <c r="C277" s="21"/>
    </row>
    <row r="278" ht="15.75" customHeight="1">
      <c r="A278" s="25"/>
      <c r="C278" s="21"/>
    </row>
    <row r="279" ht="15.75" customHeight="1">
      <c r="A279" s="25"/>
      <c r="C279" s="21"/>
    </row>
    <row r="280" ht="15.75" customHeight="1">
      <c r="A280" s="25"/>
      <c r="C280" s="21"/>
    </row>
    <row r="281" ht="15.75" customHeight="1">
      <c r="A281" s="25"/>
      <c r="C281" s="21"/>
    </row>
    <row r="282" ht="15.75" customHeight="1">
      <c r="A282" s="25"/>
      <c r="C282" s="21"/>
    </row>
    <row r="283" ht="15.75" customHeight="1">
      <c r="A283" s="25"/>
      <c r="C283" s="21"/>
    </row>
    <row r="284" ht="15.75" customHeight="1">
      <c r="A284" s="25"/>
      <c r="C284" s="21"/>
    </row>
    <row r="285" ht="15.75" customHeight="1">
      <c r="A285" s="25"/>
      <c r="C285" s="21"/>
    </row>
    <row r="286" ht="15.75" customHeight="1">
      <c r="A286" s="25"/>
      <c r="C286" s="21"/>
    </row>
    <row r="287" ht="15.75" customHeight="1">
      <c r="A287" s="25"/>
      <c r="C287" s="21"/>
    </row>
    <row r="288" ht="15.75" customHeight="1">
      <c r="A288" s="25"/>
      <c r="C288" s="21"/>
    </row>
    <row r="289" ht="15.75" customHeight="1">
      <c r="A289" s="25"/>
      <c r="C289" s="21"/>
    </row>
    <row r="290" ht="15.75" customHeight="1">
      <c r="A290" s="25"/>
      <c r="C290" s="21"/>
    </row>
    <row r="291" ht="15.75" customHeight="1">
      <c r="A291" s="25"/>
      <c r="C291" s="21"/>
    </row>
    <row r="292" ht="15.75" customHeight="1">
      <c r="A292" s="25"/>
      <c r="C292" s="21"/>
    </row>
    <row r="293" ht="15.75" customHeight="1">
      <c r="A293" s="25"/>
      <c r="C293" s="21"/>
    </row>
    <row r="294" ht="15.75" customHeight="1">
      <c r="A294" s="25"/>
      <c r="C294" s="21"/>
    </row>
    <row r="295" ht="15.75" customHeight="1">
      <c r="A295" s="25"/>
      <c r="C295" s="21"/>
    </row>
    <row r="296" ht="15.75" customHeight="1">
      <c r="A296" s="25"/>
      <c r="C296" s="21"/>
    </row>
    <row r="297" ht="15.75" customHeight="1">
      <c r="A297" s="25"/>
      <c r="C297" s="21"/>
    </row>
    <row r="298" ht="15.75" customHeight="1">
      <c r="A298" s="25"/>
      <c r="C298" s="21"/>
    </row>
    <row r="299" ht="15.75" customHeight="1">
      <c r="A299" s="25"/>
      <c r="C299" s="21"/>
    </row>
    <row r="300" ht="15.75" customHeight="1">
      <c r="A300" s="25"/>
      <c r="C300" s="21"/>
    </row>
    <row r="301" ht="15.75" customHeight="1">
      <c r="A301" s="25"/>
      <c r="C301" s="21"/>
    </row>
    <row r="302" ht="15.75" customHeight="1">
      <c r="A302" s="25"/>
      <c r="C302" s="21"/>
    </row>
    <row r="303" ht="15.75" customHeight="1">
      <c r="A303" s="25"/>
      <c r="C303" s="21"/>
    </row>
    <row r="304" ht="15.75" customHeight="1">
      <c r="A304" s="25"/>
      <c r="C304" s="21"/>
    </row>
    <row r="305" ht="15.75" customHeight="1">
      <c r="A305" s="25"/>
      <c r="C305" s="21"/>
    </row>
    <row r="306" ht="15.75" customHeight="1">
      <c r="A306" s="25"/>
      <c r="C306" s="21"/>
    </row>
    <row r="307" ht="15.75" customHeight="1">
      <c r="A307" s="25"/>
      <c r="C307" s="21"/>
    </row>
    <row r="308" ht="15.75" customHeight="1">
      <c r="A308" s="25"/>
      <c r="C308" s="21"/>
    </row>
    <row r="309" ht="15.75" customHeight="1">
      <c r="A309" s="25"/>
      <c r="C309" s="21"/>
    </row>
    <row r="310" ht="15.75" customHeight="1">
      <c r="A310" s="25"/>
      <c r="C310" s="21"/>
    </row>
    <row r="311" ht="15.75" customHeight="1">
      <c r="A311" s="25"/>
      <c r="C311" s="21"/>
    </row>
    <row r="312" ht="15.75" customHeight="1">
      <c r="A312" s="25"/>
      <c r="C312" s="21"/>
    </row>
    <row r="313" ht="15.75" customHeight="1">
      <c r="A313" s="25"/>
      <c r="C313" s="21"/>
    </row>
    <row r="314" ht="15.75" customHeight="1">
      <c r="A314" s="25"/>
      <c r="C314" s="21"/>
    </row>
    <row r="315" ht="15.75" customHeight="1">
      <c r="A315" s="25"/>
      <c r="C315" s="21"/>
    </row>
    <row r="316" ht="15.75" customHeight="1">
      <c r="A316" s="25"/>
      <c r="C316" s="21"/>
    </row>
    <row r="317" ht="15.75" customHeight="1">
      <c r="A317" s="25"/>
      <c r="C317" s="21"/>
    </row>
    <row r="318" ht="15.75" customHeight="1">
      <c r="A318" s="25"/>
      <c r="C318" s="21"/>
    </row>
    <row r="319" ht="15.75" customHeight="1">
      <c r="A319" s="25"/>
      <c r="C319" s="21"/>
    </row>
    <row r="320" ht="15.75" customHeight="1">
      <c r="A320" s="25"/>
      <c r="C320" s="21"/>
    </row>
    <row r="321" ht="15.75" customHeight="1">
      <c r="A321" s="25"/>
      <c r="C321" s="21"/>
    </row>
    <row r="322" ht="15.75" customHeight="1">
      <c r="A322" s="25"/>
      <c r="C322" s="21"/>
    </row>
    <row r="323" ht="15.75" customHeight="1">
      <c r="A323" s="25"/>
      <c r="C323" s="21"/>
    </row>
    <row r="324" ht="15.75" customHeight="1">
      <c r="A324" s="25"/>
      <c r="C324" s="21"/>
    </row>
    <row r="325" ht="15.75" customHeight="1">
      <c r="A325" s="25"/>
      <c r="C325" s="21"/>
    </row>
    <row r="326" ht="15.75" customHeight="1">
      <c r="A326" s="25"/>
      <c r="C326" s="21"/>
    </row>
    <row r="327" ht="15.75" customHeight="1">
      <c r="A327" s="25"/>
      <c r="C327" s="21"/>
    </row>
    <row r="328" ht="15.75" customHeight="1">
      <c r="A328" s="25"/>
      <c r="C328" s="21"/>
    </row>
    <row r="329" ht="15.75" customHeight="1">
      <c r="A329" s="25"/>
      <c r="C329" s="21"/>
    </row>
    <row r="330" ht="15.75" customHeight="1">
      <c r="A330" s="25"/>
      <c r="C330" s="21"/>
    </row>
    <row r="331" ht="15.75" customHeight="1">
      <c r="A331" s="25"/>
      <c r="C331" s="21"/>
    </row>
    <row r="332" ht="15.75" customHeight="1">
      <c r="A332" s="25"/>
      <c r="C332" s="21"/>
    </row>
    <row r="333" ht="15.75" customHeight="1">
      <c r="A333" s="25"/>
      <c r="C333" s="21"/>
    </row>
    <row r="334" ht="15.75" customHeight="1">
      <c r="A334" s="25"/>
      <c r="C334" s="21"/>
    </row>
    <row r="335" ht="15.75" customHeight="1">
      <c r="A335" s="25"/>
      <c r="C335" s="21"/>
    </row>
    <row r="336" ht="15.75" customHeight="1">
      <c r="A336" s="25"/>
      <c r="C336" s="21"/>
    </row>
    <row r="337" ht="15.75" customHeight="1">
      <c r="A337" s="25"/>
      <c r="C337" s="21"/>
    </row>
    <row r="338" ht="15.75" customHeight="1">
      <c r="A338" s="25"/>
      <c r="C338" s="21"/>
    </row>
    <row r="339" ht="15.75" customHeight="1">
      <c r="A339" s="25"/>
      <c r="C339" s="21"/>
    </row>
    <row r="340" ht="15.75" customHeight="1">
      <c r="A340" s="25"/>
      <c r="C340" s="21"/>
    </row>
    <row r="341" ht="15.75" customHeight="1">
      <c r="A341" s="25"/>
      <c r="C341" s="21"/>
    </row>
    <row r="342" ht="15.75" customHeight="1">
      <c r="A342" s="25"/>
      <c r="C342" s="21"/>
    </row>
    <row r="343" ht="15.75" customHeight="1">
      <c r="A343" s="25"/>
      <c r="C343" s="21"/>
    </row>
    <row r="344" ht="15.75" customHeight="1">
      <c r="A344" s="25"/>
      <c r="C344" s="21"/>
    </row>
    <row r="345" ht="15.75" customHeight="1">
      <c r="A345" s="25"/>
      <c r="C345" s="21"/>
    </row>
    <row r="346" ht="15.75" customHeight="1">
      <c r="A346" s="25"/>
      <c r="C346" s="21"/>
    </row>
    <row r="347" ht="15.75" customHeight="1">
      <c r="A347" s="25"/>
      <c r="C347" s="21"/>
    </row>
    <row r="348" ht="15.75" customHeight="1">
      <c r="A348" s="25"/>
      <c r="C348" s="21"/>
    </row>
    <row r="349" ht="15.75" customHeight="1">
      <c r="A349" s="25"/>
      <c r="C349" s="21"/>
    </row>
    <row r="350" ht="15.75" customHeight="1">
      <c r="A350" s="25"/>
      <c r="C350" s="21"/>
    </row>
    <row r="351" ht="15.75" customHeight="1">
      <c r="A351" s="25"/>
      <c r="C351" s="21"/>
    </row>
    <row r="352" ht="15.75" customHeight="1">
      <c r="A352" s="25"/>
      <c r="C352" s="21"/>
    </row>
    <row r="353" ht="15.75" customHeight="1">
      <c r="A353" s="25"/>
      <c r="C353" s="21"/>
    </row>
    <row r="354" ht="15.75" customHeight="1">
      <c r="A354" s="25"/>
      <c r="C354" s="21"/>
    </row>
    <row r="355" ht="15.75" customHeight="1">
      <c r="A355" s="25"/>
      <c r="C355" s="21"/>
    </row>
    <row r="356" ht="15.75" customHeight="1">
      <c r="A356" s="25"/>
      <c r="C356" s="21"/>
    </row>
    <row r="357" ht="15.75" customHeight="1">
      <c r="A357" s="25"/>
      <c r="C357" s="21"/>
    </row>
    <row r="358" ht="15.75" customHeight="1">
      <c r="A358" s="25"/>
      <c r="C358" s="21"/>
    </row>
    <row r="359" ht="15.75" customHeight="1">
      <c r="A359" s="25"/>
      <c r="C359" s="21"/>
    </row>
    <row r="360" ht="15.75" customHeight="1">
      <c r="A360" s="25"/>
      <c r="C360" s="21"/>
    </row>
    <row r="361" ht="15.75" customHeight="1">
      <c r="A361" s="25"/>
      <c r="C361" s="21"/>
    </row>
    <row r="362" ht="15.75" customHeight="1">
      <c r="A362" s="25"/>
      <c r="C362" s="21"/>
    </row>
    <row r="363" ht="15.75" customHeight="1">
      <c r="A363" s="25"/>
      <c r="C363" s="21"/>
    </row>
    <row r="364" ht="15.75" customHeight="1">
      <c r="A364" s="25"/>
      <c r="C364" s="21"/>
    </row>
    <row r="365" ht="15.75" customHeight="1">
      <c r="A365" s="25"/>
      <c r="C365" s="21"/>
    </row>
    <row r="366" ht="15.75" customHeight="1">
      <c r="A366" s="25"/>
      <c r="C366" s="21"/>
    </row>
    <row r="367" ht="15.75" customHeight="1">
      <c r="A367" s="25"/>
      <c r="C367" s="21"/>
    </row>
    <row r="368" ht="15.75" customHeight="1">
      <c r="A368" s="25"/>
      <c r="C368" s="21"/>
    </row>
    <row r="369" ht="15.75" customHeight="1">
      <c r="A369" s="25"/>
      <c r="C369" s="21"/>
    </row>
    <row r="370" ht="15.75" customHeight="1">
      <c r="A370" s="25"/>
      <c r="C370" s="21"/>
    </row>
    <row r="371" ht="15.75" customHeight="1">
      <c r="A371" s="25"/>
      <c r="C371" s="21"/>
    </row>
    <row r="372" ht="15.75" customHeight="1">
      <c r="A372" s="25"/>
      <c r="C372" s="21"/>
    </row>
    <row r="373" ht="15.75" customHeight="1">
      <c r="A373" s="25"/>
      <c r="C373" s="21"/>
    </row>
    <row r="374" ht="15.75" customHeight="1">
      <c r="A374" s="25"/>
      <c r="C374" s="21"/>
    </row>
    <row r="375" ht="15.75" customHeight="1">
      <c r="A375" s="25"/>
      <c r="C375" s="21"/>
    </row>
    <row r="376" ht="15.75" customHeight="1">
      <c r="A376" s="25"/>
      <c r="C376" s="21"/>
    </row>
    <row r="377" ht="15.75" customHeight="1">
      <c r="A377" s="25"/>
      <c r="C377" s="21"/>
    </row>
    <row r="378" ht="15.75" customHeight="1">
      <c r="A378" s="25"/>
      <c r="C378" s="21"/>
    </row>
    <row r="379" ht="15.75" customHeight="1">
      <c r="A379" s="25"/>
      <c r="C379" s="21"/>
    </row>
    <row r="380" ht="15.75" customHeight="1">
      <c r="A380" s="25"/>
      <c r="C380" s="21"/>
    </row>
    <row r="381" ht="15.75" customHeight="1">
      <c r="A381" s="25"/>
      <c r="C381" s="21"/>
    </row>
    <row r="382" ht="15.75" customHeight="1">
      <c r="A382" s="25"/>
      <c r="C382" s="21"/>
    </row>
    <row r="383" ht="15.75" customHeight="1">
      <c r="A383" s="25"/>
      <c r="C383" s="21"/>
    </row>
    <row r="384" ht="15.75" customHeight="1">
      <c r="A384" s="25"/>
      <c r="C384" s="21"/>
    </row>
    <row r="385" ht="15.75" customHeight="1">
      <c r="A385" s="25"/>
      <c r="C385" s="21"/>
    </row>
    <row r="386" ht="15.75" customHeight="1">
      <c r="A386" s="25"/>
      <c r="C386" s="21"/>
    </row>
    <row r="387" ht="15.75" customHeight="1">
      <c r="A387" s="25"/>
      <c r="C387" s="21"/>
    </row>
    <row r="388" ht="15.75" customHeight="1">
      <c r="A388" s="25"/>
      <c r="C388" s="21"/>
    </row>
    <row r="389" ht="15.75" customHeight="1">
      <c r="A389" s="25"/>
      <c r="C389" s="21"/>
    </row>
    <row r="390" ht="15.75" customHeight="1">
      <c r="A390" s="25"/>
      <c r="C390" s="21"/>
    </row>
    <row r="391" ht="15.75" customHeight="1">
      <c r="A391" s="25"/>
      <c r="C391" s="21"/>
    </row>
    <row r="392" ht="15.75" customHeight="1">
      <c r="A392" s="25"/>
      <c r="C392" s="21"/>
    </row>
    <row r="393" ht="15.75" customHeight="1">
      <c r="A393" s="25"/>
      <c r="C393" s="21"/>
    </row>
    <row r="394" ht="15.75" customHeight="1">
      <c r="A394" s="25"/>
      <c r="C394" s="21"/>
    </row>
    <row r="395" ht="15.75" customHeight="1">
      <c r="A395" s="25"/>
      <c r="C395" s="21"/>
    </row>
    <row r="396" ht="15.75" customHeight="1">
      <c r="A396" s="25"/>
      <c r="C396" s="21"/>
    </row>
    <row r="397" ht="15.75" customHeight="1">
      <c r="A397" s="25"/>
      <c r="C397" s="21"/>
    </row>
    <row r="398" ht="15.75" customHeight="1">
      <c r="A398" s="25"/>
      <c r="C398" s="21"/>
    </row>
    <row r="399" ht="15.75" customHeight="1">
      <c r="A399" s="25"/>
      <c r="C399" s="21"/>
    </row>
    <row r="400" ht="15.75" customHeight="1">
      <c r="A400" s="25"/>
      <c r="C400" s="21"/>
    </row>
    <row r="401" ht="15.75" customHeight="1">
      <c r="A401" s="25"/>
      <c r="C401" s="21"/>
    </row>
    <row r="402" ht="15.75" customHeight="1">
      <c r="A402" s="25"/>
      <c r="C402" s="21"/>
    </row>
    <row r="403" ht="15.75" customHeight="1">
      <c r="A403" s="25"/>
      <c r="C403" s="21"/>
    </row>
    <row r="404" ht="15.75" customHeight="1">
      <c r="A404" s="25"/>
      <c r="C404" s="21"/>
    </row>
    <row r="405" ht="15.75" customHeight="1">
      <c r="A405" s="25"/>
      <c r="C405" s="21"/>
    </row>
    <row r="406" ht="15.75" customHeight="1">
      <c r="A406" s="25"/>
      <c r="C406" s="21"/>
    </row>
    <row r="407" ht="15.75" customHeight="1">
      <c r="A407" s="25"/>
      <c r="C407" s="21"/>
    </row>
    <row r="408" ht="15.75" customHeight="1">
      <c r="A408" s="25"/>
      <c r="C408" s="21"/>
    </row>
    <row r="409" ht="15.75" customHeight="1">
      <c r="A409" s="25"/>
      <c r="C409" s="21"/>
    </row>
    <row r="410" ht="15.75" customHeight="1">
      <c r="A410" s="25"/>
      <c r="C410" s="21"/>
    </row>
    <row r="411" ht="15.75" customHeight="1">
      <c r="A411" s="25"/>
      <c r="C411" s="21"/>
    </row>
    <row r="412" ht="15.75" customHeight="1">
      <c r="A412" s="25"/>
      <c r="C412" s="21"/>
    </row>
    <row r="413" ht="15.75" customHeight="1">
      <c r="A413" s="25"/>
      <c r="C413" s="21"/>
    </row>
    <row r="414" ht="15.75" customHeight="1">
      <c r="A414" s="25"/>
      <c r="C414" s="21"/>
    </row>
    <row r="415" ht="15.75" customHeight="1">
      <c r="A415" s="25"/>
      <c r="C415" s="21"/>
    </row>
    <row r="416" ht="15.75" customHeight="1">
      <c r="A416" s="25"/>
      <c r="C416" s="21"/>
    </row>
    <row r="417" ht="15.75" customHeight="1">
      <c r="A417" s="25"/>
      <c r="C417" s="21"/>
    </row>
    <row r="418" ht="15.75" customHeight="1">
      <c r="A418" s="25"/>
      <c r="C418" s="21"/>
    </row>
    <row r="419" ht="15.75" customHeight="1">
      <c r="A419" s="25"/>
      <c r="C419" s="21"/>
    </row>
    <row r="420" ht="15.75" customHeight="1">
      <c r="A420" s="25"/>
      <c r="C420" s="21"/>
    </row>
    <row r="421" ht="15.75" customHeight="1">
      <c r="A421" s="25"/>
      <c r="C421" s="21"/>
    </row>
    <row r="422" ht="15.75" customHeight="1">
      <c r="A422" s="25"/>
      <c r="C422" s="21"/>
    </row>
    <row r="423" ht="15.75" customHeight="1">
      <c r="A423" s="25"/>
      <c r="C423" s="21"/>
    </row>
    <row r="424" ht="15.75" customHeight="1">
      <c r="A424" s="25"/>
      <c r="C424" s="21"/>
    </row>
    <row r="425" ht="15.75" customHeight="1">
      <c r="A425" s="25"/>
      <c r="C425" s="21"/>
    </row>
    <row r="426" ht="15.75" customHeight="1">
      <c r="A426" s="25"/>
      <c r="C426" s="21"/>
    </row>
    <row r="427" ht="15.75" customHeight="1">
      <c r="A427" s="25"/>
      <c r="C427" s="21"/>
    </row>
    <row r="428" ht="15.75" customHeight="1">
      <c r="A428" s="25"/>
      <c r="C428" s="21"/>
    </row>
    <row r="429" ht="15.75" customHeight="1">
      <c r="A429" s="25"/>
      <c r="C429" s="21"/>
    </row>
    <row r="430" ht="15.75" customHeight="1">
      <c r="A430" s="25"/>
      <c r="C430" s="21"/>
    </row>
    <row r="431" ht="15.75" customHeight="1">
      <c r="A431" s="25"/>
      <c r="C431" s="21"/>
    </row>
    <row r="432" ht="15.75" customHeight="1">
      <c r="A432" s="25"/>
      <c r="C432" s="21"/>
    </row>
    <row r="433" ht="15.75" customHeight="1">
      <c r="A433" s="25"/>
      <c r="C433" s="21"/>
    </row>
    <row r="434" ht="15.75" customHeight="1">
      <c r="A434" s="25"/>
      <c r="C434" s="21"/>
    </row>
    <row r="435" ht="15.75" customHeight="1">
      <c r="A435" s="25"/>
      <c r="C435" s="21"/>
    </row>
    <row r="436" ht="15.75" customHeight="1">
      <c r="A436" s="25"/>
      <c r="C436" s="21"/>
    </row>
    <row r="437" ht="15.75" customHeight="1">
      <c r="A437" s="25"/>
      <c r="C437" s="21"/>
    </row>
    <row r="438" ht="15.75" customHeight="1">
      <c r="A438" s="25"/>
      <c r="C438" s="21"/>
    </row>
    <row r="439" ht="15.75" customHeight="1">
      <c r="A439" s="25"/>
      <c r="C439" s="21"/>
    </row>
    <row r="440" ht="15.75" customHeight="1">
      <c r="A440" s="25"/>
      <c r="C440" s="21"/>
    </row>
    <row r="441" ht="15.75" customHeight="1">
      <c r="A441" s="25"/>
      <c r="C441" s="21"/>
    </row>
    <row r="442" ht="15.75" customHeight="1">
      <c r="A442" s="25"/>
      <c r="C442" s="21"/>
    </row>
    <row r="443" ht="15.75" customHeight="1">
      <c r="A443" s="25"/>
      <c r="C443" s="21"/>
    </row>
    <row r="444" ht="15.75" customHeight="1">
      <c r="A444" s="25"/>
      <c r="C444" s="21"/>
    </row>
    <row r="445" ht="15.75" customHeight="1">
      <c r="A445" s="25"/>
      <c r="C445" s="21"/>
    </row>
    <row r="446" ht="15.75" customHeight="1">
      <c r="A446" s="25"/>
      <c r="C446" s="21"/>
    </row>
    <row r="447" ht="15.75" customHeight="1">
      <c r="A447" s="25"/>
      <c r="C447" s="21"/>
    </row>
    <row r="448" ht="15.75" customHeight="1">
      <c r="A448" s="25"/>
      <c r="C448" s="21"/>
    </row>
    <row r="449" ht="15.75" customHeight="1">
      <c r="A449" s="25"/>
      <c r="C449" s="21"/>
    </row>
    <row r="450" ht="15.75" customHeight="1">
      <c r="A450" s="25"/>
      <c r="C450" s="21"/>
    </row>
    <row r="451" ht="15.75" customHeight="1">
      <c r="A451" s="25"/>
      <c r="C451" s="21"/>
    </row>
    <row r="452" ht="15.75" customHeight="1">
      <c r="A452" s="25"/>
      <c r="C452" s="21"/>
    </row>
    <row r="453" ht="15.75" customHeight="1">
      <c r="A453" s="25"/>
      <c r="C453" s="21"/>
    </row>
    <row r="454" ht="15.75" customHeight="1">
      <c r="A454" s="25"/>
      <c r="C454" s="21"/>
    </row>
    <row r="455" ht="15.75" customHeight="1">
      <c r="A455" s="25"/>
      <c r="C455" s="21"/>
    </row>
    <row r="456" ht="15.75" customHeight="1">
      <c r="A456" s="25"/>
      <c r="C456" s="21"/>
    </row>
    <row r="457" ht="15.75" customHeight="1">
      <c r="A457" s="25"/>
      <c r="C457" s="21"/>
    </row>
    <row r="458" ht="15.75" customHeight="1">
      <c r="A458" s="25"/>
      <c r="C458" s="21"/>
    </row>
    <row r="459" ht="15.75" customHeight="1">
      <c r="A459" s="25"/>
      <c r="C459" s="21"/>
    </row>
    <row r="460" ht="15.75" customHeight="1">
      <c r="A460" s="25"/>
      <c r="C460" s="21"/>
    </row>
    <row r="461" ht="15.75" customHeight="1">
      <c r="A461" s="25"/>
      <c r="C461" s="21"/>
    </row>
    <row r="462" ht="15.75" customHeight="1">
      <c r="A462" s="25"/>
      <c r="C462" s="21"/>
    </row>
    <row r="463" ht="15.75" customHeight="1">
      <c r="A463" s="25"/>
      <c r="C463" s="21"/>
    </row>
    <row r="464" ht="15.75" customHeight="1">
      <c r="A464" s="25"/>
      <c r="C464" s="21"/>
    </row>
    <row r="465" ht="15.75" customHeight="1">
      <c r="A465" s="25"/>
      <c r="C465" s="21"/>
    </row>
    <row r="466" ht="15.75" customHeight="1">
      <c r="A466" s="25"/>
      <c r="C466" s="21"/>
    </row>
    <row r="467" ht="15.75" customHeight="1">
      <c r="A467" s="25"/>
      <c r="C467" s="21"/>
    </row>
    <row r="468" ht="15.75" customHeight="1">
      <c r="A468" s="25"/>
      <c r="C468" s="21"/>
    </row>
    <row r="469" ht="15.75" customHeight="1">
      <c r="A469" s="25"/>
      <c r="C469" s="21"/>
    </row>
    <row r="470" ht="15.75" customHeight="1">
      <c r="A470" s="25"/>
      <c r="C470" s="21"/>
    </row>
    <row r="471" ht="15.75" customHeight="1">
      <c r="A471" s="25"/>
      <c r="C471" s="21"/>
    </row>
    <row r="472" ht="15.75" customHeight="1">
      <c r="A472" s="25"/>
      <c r="C472" s="21"/>
    </row>
    <row r="473" ht="15.75" customHeight="1">
      <c r="A473" s="25"/>
      <c r="C473" s="21"/>
    </row>
    <row r="474" ht="15.75" customHeight="1">
      <c r="A474" s="25"/>
      <c r="C474" s="21"/>
    </row>
    <row r="475" ht="15.75" customHeight="1">
      <c r="A475" s="25"/>
      <c r="C475" s="21"/>
    </row>
    <row r="476" ht="15.75" customHeight="1">
      <c r="A476" s="25"/>
      <c r="C476" s="21"/>
    </row>
    <row r="477" ht="15.75" customHeight="1">
      <c r="A477" s="25"/>
      <c r="C477" s="21"/>
    </row>
    <row r="478" ht="15.75" customHeight="1">
      <c r="A478" s="25"/>
      <c r="C478" s="21"/>
    </row>
    <row r="479" ht="15.75" customHeight="1">
      <c r="A479" s="25"/>
      <c r="C479" s="21"/>
    </row>
    <row r="480" ht="15.75" customHeight="1">
      <c r="A480" s="25"/>
      <c r="C480" s="21"/>
    </row>
    <row r="481" ht="15.75" customHeight="1">
      <c r="A481" s="25"/>
      <c r="C481" s="21"/>
    </row>
    <row r="482" ht="15.75" customHeight="1">
      <c r="A482" s="25"/>
      <c r="C482" s="21"/>
    </row>
    <row r="483" ht="15.75" customHeight="1">
      <c r="A483" s="25"/>
      <c r="C483" s="21"/>
    </row>
    <row r="484" ht="15.75" customHeight="1">
      <c r="A484" s="25"/>
      <c r="C484" s="21"/>
    </row>
    <row r="485" ht="15.75" customHeight="1">
      <c r="A485" s="25"/>
      <c r="C485" s="21"/>
    </row>
    <row r="486" ht="15.75" customHeight="1">
      <c r="A486" s="25"/>
      <c r="C486" s="21"/>
    </row>
    <row r="487" ht="15.75" customHeight="1">
      <c r="A487" s="25"/>
      <c r="C487" s="21"/>
    </row>
    <row r="488" ht="15.75" customHeight="1">
      <c r="A488" s="25"/>
      <c r="C488" s="21"/>
    </row>
    <row r="489" ht="15.75" customHeight="1">
      <c r="A489" s="25"/>
      <c r="C489" s="21"/>
    </row>
    <row r="490" ht="15.75" customHeight="1">
      <c r="A490" s="25"/>
      <c r="C490" s="21"/>
    </row>
    <row r="491" ht="15.75" customHeight="1">
      <c r="A491" s="25"/>
      <c r="C491" s="21"/>
    </row>
    <row r="492" ht="15.75" customHeight="1">
      <c r="A492" s="25"/>
      <c r="C492" s="21"/>
    </row>
    <row r="493" ht="15.75" customHeight="1">
      <c r="A493" s="25"/>
      <c r="C493" s="21"/>
    </row>
    <row r="494" ht="15.75" customHeight="1">
      <c r="A494" s="25"/>
      <c r="C494" s="21"/>
    </row>
    <row r="495" ht="15.75" customHeight="1">
      <c r="A495" s="25"/>
      <c r="C495" s="21"/>
    </row>
    <row r="496" ht="15.75" customHeight="1">
      <c r="A496" s="25"/>
      <c r="C496" s="21"/>
    </row>
    <row r="497" ht="15.75" customHeight="1">
      <c r="A497" s="25"/>
      <c r="C497" s="21"/>
    </row>
    <row r="498" ht="15.75" customHeight="1">
      <c r="A498" s="25"/>
      <c r="C498" s="21"/>
    </row>
    <row r="499" ht="15.75" customHeight="1">
      <c r="A499" s="25"/>
      <c r="C499" s="21"/>
    </row>
    <row r="500" ht="15.75" customHeight="1">
      <c r="A500" s="25"/>
      <c r="C500" s="21"/>
    </row>
    <row r="501" ht="15.75" customHeight="1">
      <c r="A501" s="25"/>
      <c r="C501" s="21"/>
    </row>
    <row r="502" ht="15.75" customHeight="1">
      <c r="A502" s="25"/>
      <c r="C502" s="21"/>
    </row>
    <row r="503" ht="15.75" customHeight="1">
      <c r="A503" s="25"/>
      <c r="C503" s="21"/>
    </row>
    <row r="504" ht="15.75" customHeight="1">
      <c r="A504" s="25"/>
      <c r="C504" s="21"/>
    </row>
    <row r="505" ht="15.75" customHeight="1">
      <c r="A505" s="25"/>
      <c r="C505" s="21"/>
    </row>
    <row r="506" ht="15.75" customHeight="1">
      <c r="A506" s="25"/>
      <c r="C506" s="21"/>
    </row>
    <row r="507" ht="15.75" customHeight="1">
      <c r="A507" s="25"/>
      <c r="C507" s="21"/>
    </row>
    <row r="508" ht="15.75" customHeight="1">
      <c r="A508" s="25"/>
      <c r="C508" s="21"/>
    </row>
    <row r="509" ht="15.75" customHeight="1">
      <c r="A509" s="25"/>
      <c r="C509" s="21"/>
    </row>
    <row r="510" ht="15.75" customHeight="1">
      <c r="A510" s="25"/>
      <c r="C510" s="21"/>
    </row>
    <row r="511" ht="15.75" customHeight="1">
      <c r="A511" s="25"/>
      <c r="C511" s="21"/>
    </row>
    <row r="512" ht="15.75" customHeight="1">
      <c r="A512" s="25"/>
      <c r="C512" s="21"/>
    </row>
    <row r="513" ht="15.75" customHeight="1">
      <c r="A513" s="25"/>
      <c r="C513" s="21"/>
    </row>
    <row r="514" ht="15.75" customHeight="1">
      <c r="A514" s="25"/>
      <c r="C514" s="21"/>
    </row>
    <row r="515" ht="15.75" customHeight="1">
      <c r="A515" s="25"/>
      <c r="C515" s="21"/>
    </row>
    <row r="516" ht="15.75" customHeight="1">
      <c r="A516" s="25"/>
      <c r="C516" s="21"/>
    </row>
    <row r="517" ht="15.75" customHeight="1">
      <c r="A517" s="25"/>
      <c r="C517" s="21"/>
    </row>
    <row r="518" ht="15.75" customHeight="1">
      <c r="A518" s="25"/>
      <c r="C518" s="21"/>
    </row>
    <row r="519" ht="15.75" customHeight="1">
      <c r="A519" s="25"/>
      <c r="C519" s="21"/>
    </row>
    <row r="520" ht="15.75" customHeight="1">
      <c r="A520" s="25"/>
      <c r="C520" s="21"/>
    </row>
    <row r="521" ht="15.75" customHeight="1">
      <c r="A521" s="25"/>
      <c r="C521" s="21"/>
    </row>
    <row r="522" ht="15.75" customHeight="1">
      <c r="A522" s="25"/>
      <c r="C522" s="21"/>
    </row>
    <row r="523" ht="15.75" customHeight="1">
      <c r="A523" s="25"/>
      <c r="C523" s="21"/>
    </row>
    <row r="524" ht="15.75" customHeight="1">
      <c r="A524" s="25"/>
      <c r="C524" s="21"/>
    </row>
    <row r="525" ht="15.75" customHeight="1">
      <c r="A525" s="25"/>
      <c r="C525" s="21"/>
    </row>
    <row r="526" ht="15.75" customHeight="1">
      <c r="A526" s="25"/>
      <c r="C526" s="21"/>
    </row>
    <row r="527" ht="15.75" customHeight="1">
      <c r="A527" s="25"/>
      <c r="C527" s="21"/>
    </row>
    <row r="528" ht="15.75" customHeight="1">
      <c r="A528" s="25"/>
      <c r="C528" s="21"/>
    </row>
    <row r="529" ht="15.75" customHeight="1">
      <c r="A529" s="25"/>
      <c r="C529" s="21"/>
    </row>
    <row r="530" ht="15.75" customHeight="1">
      <c r="A530" s="25"/>
      <c r="C530" s="21"/>
    </row>
    <row r="531" ht="15.75" customHeight="1">
      <c r="A531" s="25"/>
      <c r="C531" s="21"/>
    </row>
    <row r="532" ht="15.75" customHeight="1">
      <c r="A532" s="25"/>
      <c r="C532" s="21"/>
    </row>
    <row r="533" ht="15.75" customHeight="1">
      <c r="A533" s="25"/>
      <c r="C533" s="21"/>
    </row>
    <row r="534" ht="15.75" customHeight="1">
      <c r="A534" s="25"/>
      <c r="C534" s="21"/>
    </row>
    <row r="535" ht="15.75" customHeight="1">
      <c r="A535" s="25"/>
      <c r="C535" s="21"/>
    </row>
    <row r="536" ht="15.75" customHeight="1">
      <c r="A536" s="25"/>
      <c r="C536" s="21"/>
    </row>
    <row r="537" ht="15.75" customHeight="1">
      <c r="A537" s="25"/>
      <c r="C537" s="21"/>
    </row>
    <row r="538" ht="15.75" customHeight="1">
      <c r="A538" s="25"/>
      <c r="C538" s="21"/>
    </row>
    <row r="539" ht="15.75" customHeight="1">
      <c r="A539" s="25"/>
      <c r="C539" s="21"/>
    </row>
    <row r="540" ht="15.75" customHeight="1">
      <c r="A540" s="25"/>
      <c r="C540" s="21"/>
    </row>
    <row r="541" ht="15.75" customHeight="1">
      <c r="A541" s="25"/>
      <c r="C541" s="21"/>
    </row>
    <row r="542" ht="15.75" customHeight="1">
      <c r="A542" s="25"/>
      <c r="C542" s="21"/>
    </row>
    <row r="543" ht="15.75" customHeight="1">
      <c r="A543" s="25"/>
      <c r="C543" s="21"/>
    </row>
    <row r="544" ht="15.75" customHeight="1">
      <c r="A544" s="25"/>
      <c r="C544" s="21"/>
    </row>
    <row r="545" ht="15.75" customHeight="1">
      <c r="A545" s="25"/>
      <c r="C545" s="21"/>
    </row>
    <row r="546" ht="15.75" customHeight="1">
      <c r="A546" s="25"/>
      <c r="C546" s="21"/>
    </row>
    <row r="547" ht="15.75" customHeight="1">
      <c r="A547" s="25"/>
      <c r="C547" s="21"/>
    </row>
    <row r="548" ht="15.75" customHeight="1">
      <c r="A548" s="25"/>
      <c r="C548" s="21"/>
    </row>
    <row r="549" ht="15.75" customHeight="1">
      <c r="A549" s="25"/>
      <c r="C549" s="21"/>
    </row>
    <row r="550" ht="15.75" customHeight="1">
      <c r="A550" s="25"/>
      <c r="C550" s="21"/>
    </row>
    <row r="551" ht="15.75" customHeight="1">
      <c r="A551" s="25"/>
      <c r="C551" s="21"/>
    </row>
    <row r="552" ht="15.75" customHeight="1">
      <c r="A552" s="25"/>
      <c r="C552" s="21"/>
    </row>
    <row r="553" ht="15.75" customHeight="1">
      <c r="A553" s="25"/>
      <c r="C553" s="21"/>
    </row>
    <row r="554" ht="15.75" customHeight="1">
      <c r="A554" s="25"/>
      <c r="C554" s="21"/>
    </row>
    <row r="555" ht="15.75" customHeight="1">
      <c r="A555" s="25"/>
      <c r="C555" s="21"/>
    </row>
    <row r="556" ht="15.75" customHeight="1">
      <c r="A556" s="25"/>
      <c r="C556" s="21"/>
    </row>
    <row r="557" ht="15.75" customHeight="1">
      <c r="A557" s="25"/>
      <c r="C557" s="21"/>
    </row>
    <row r="558" ht="15.75" customHeight="1">
      <c r="A558" s="25"/>
      <c r="C558" s="21"/>
    </row>
    <row r="559" ht="15.75" customHeight="1">
      <c r="A559" s="25"/>
      <c r="C559" s="21"/>
    </row>
    <row r="560" ht="15.75" customHeight="1">
      <c r="A560" s="25"/>
      <c r="C560" s="21"/>
    </row>
    <row r="561" ht="15.75" customHeight="1">
      <c r="A561" s="25"/>
      <c r="C561" s="21"/>
    </row>
    <row r="562" ht="15.75" customHeight="1">
      <c r="A562" s="25"/>
      <c r="C562" s="21"/>
    </row>
    <row r="563" ht="15.75" customHeight="1">
      <c r="A563" s="25"/>
      <c r="C563" s="21"/>
    </row>
    <row r="564" ht="15.75" customHeight="1">
      <c r="A564" s="25"/>
      <c r="C564" s="21"/>
    </row>
    <row r="565" ht="15.75" customHeight="1">
      <c r="A565" s="25"/>
      <c r="C565" s="21"/>
    </row>
    <row r="566" ht="15.75" customHeight="1">
      <c r="A566" s="25"/>
      <c r="C566" s="21"/>
    </row>
    <row r="567" ht="15.75" customHeight="1">
      <c r="A567" s="25"/>
      <c r="C567" s="21"/>
    </row>
    <row r="568" ht="15.75" customHeight="1">
      <c r="A568" s="25"/>
      <c r="C568" s="21"/>
    </row>
    <row r="569" ht="15.75" customHeight="1">
      <c r="A569" s="25"/>
      <c r="C569" s="21"/>
    </row>
    <row r="570" ht="15.75" customHeight="1">
      <c r="A570" s="25"/>
      <c r="C570" s="21"/>
    </row>
    <row r="571" ht="15.75" customHeight="1">
      <c r="A571" s="25"/>
      <c r="C571" s="21"/>
    </row>
    <row r="572" ht="15.75" customHeight="1">
      <c r="A572" s="25"/>
      <c r="C572" s="21"/>
    </row>
    <row r="573" ht="15.75" customHeight="1">
      <c r="A573" s="25"/>
      <c r="C573" s="21"/>
    </row>
    <row r="574" ht="15.75" customHeight="1">
      <c r="A574" s="25"/>
      <c r="C574" s="21"/>
    </row>
    <row r="575" ht="15.75" customHeight="1">
      <c r="A575" s="25"/>
      <c r="C575" s="21"/>
    </row>
    <row r="576" ht="15.75" customHeight="1">
      <c r="A576" s="25"/>
      <c r="C576" s="21"/>
    </row>
    <row r="577" ht="15.75" customHeight="1">
      <c r="A577" s="25"/>
      <c r="C577" s="21"/>
    </row>
    <row r="578" ht="15.75" customHeight="1">
      <c r="A578" s="25"/>
      <c r="C578" s="21"/>
    </row>
    <row r="579" ht="15.75" customHeight="1">
      <c r="A579" s="25"/>
      <c r="C579" s="21"/>
    </row>
    <row r="580" ht="15.75" customHeight="1">
      <c r="A580" s="25"/>
      <c r="C580" s="21"/>
    </row>
    <row r="581" ht="15.75" customHeight="1">
      <c r="A581" s="25"/>
      <c r="C581" s="21"/>
    </row>
    <row r="582" ht="15.75" customHeight="1">
      <c r="A582" s="25"/>
      <c r="C582" s="21"/>
    </row>
    <row r="583" ht="15.75" customHeight="1">
      <c r="A583" s="25"/>
      <c r="C583" s="21"/>
    </row>
    <row r="584" ht="15.75" customHeight="1">
      <c r="A584" s="25"/>
      <c r="C584" s="21"/>
    </row>
    <row r="585" ht="15.75" customHeight="1">
      <c r="A585" s="25"/>
      <c r="C585" s="21"/>
    </row>
    <row r="586" ht="15.75" customHeight="1">
      <c r="A586" s="25"/>
      <c r="C586" s="21"/>
    </row>
    <row r="587" ht="15.75" customHeight="1">
      <c r="A587" s="25"/>
      <c r="C587" s="21"/>
    </row>
    <row r="588" ht="15.75" customHeight="1">
      <c r="A588" s="25"/>
      <c r="C588" s="21"/>
    </row>
    <row r="589" ht="15.75" customHeight="1">
      <c r="A589" s="25"/>
      <c r="C589" s="21"/>
    </row>
    <row r="590" ht="15.75" customHeight="1">
      <c r="A590" s="25"/>
      <c r="C590" s="21"/>
    </row>
    <row r="591" ht="15.75" customHeight="1">
      <c r="A591" s="25"/>
      <c r="C591" s="21"/>
    </row>
    <row r="592" ht="15.75" customHeight="1">
      <c r="A592" s="25"/>
      <c r="C592" s="21"/>
    </row>
    <row r="593" ht="15.75" customHeight="1">
      <c r="A593" s="25"/>
      <c r="C593" s="21"/>
    </row>
    <row r="594" ht="15.75" customHeight="1">
      <c r="A594" s="25"/>
      <c r="C594" s="21"/>
    </row>
    <row r="595" ht="15.75" customHeight="1">
      <c r="A595" s="25"/>
      <c r="C595" s="21"/>
    </row>
    <row r="596" ht="15.75" customHeight="1">
      <c r="A596" s="25"/>
      <c r="C596" s="21"/>
    </row>
    <row r="597" ht="15.75" customHeight="1">
      <c r="A597" s="25"/>
      <c r="C597" s="21"/>
    </row>
    <row r="598" ht="15.75" customHeight="1">
      <c r="A598" s="25"/>
      <c r="C598" s="21"/>
    </row>
    <row r="599" ht="15.75" customHeight="1">
      <c r="A599" s="25"/>
      <c r="C599" s="21"/>
    </row>
    <row r="600" ht="15.75" customHeight="1">
      <c r="A600" s="25"/>
      <c r="C600" s="21"/>
    </row>
    <row r="601" ht="15.75" customHeight="1">
      <c r="A601" s="25"/>
      <c r="C601" s="21"/>
    </row>
    <row r="602" ht="15.75" customHeight="1">
      <c r="A602" s="25"/>
      <c r="C602" s="21"/>
    </row>
    <row r="603" ht="15.75" customHeight="1">
      <c r="A603" s="25"/>
      <c r="C603" s="21"/>
    </row>
    <row r="604" ht="15.75" customHeight="1">
      <c r="A604" s="25"/>
      <c r="C604" s="21"/>
    </row>
    <row r="605" ht="15.75" customHeight="1">
      <c r="A605" s="25"/>
      <c r="C605" s="21"/>
    </row>
    <row r="606" ht="15.75" customHeight="1">
      <c r="A606" s="25"/>
      <c r="C606" s="21"/>
    </row>
    <row r="607" ht="15.75" customHeight="1">
      <c r="A607" s="25"/>
      <c r="C607" s="21"/>
    </row>
    <row r="608" ht="15.75" customHeight="1">
      <c r="A608" s="25"/>
      <c r="C608" s="21"/>
    </row>
    <row r="609" ht="15.75" customHeight="1">
      <c r="A609" s="25"/>
      <c r="C609" s="21"/>
    </row>
    <row r="610" ht="15.75" customHeight="1">
      <c r="A610" s="25"/>
      <c r="C610" s="21"/>
    </row>
    <row r="611" ht="15.75" customHeight="1">
      <c r="A611" s="25"/>
      <c r="C611" s="21"/>
    </row>
    <row r="612" ht="15.75" customHeight="1">
      <c r="A612" s="25"/>
      <c r="C612" s="21"/>
    </row>
    <row r="613" ht="15.75" customHeight="1">
      <c r="A613" s="25"/>
      <c r="C613" s="21"/>
    </row>
    <row r="614" ht="15.75" customHeight="1">
      <c r="A614" s="25"/>
      <c r="C614" s="21"/>
    </row>
    <row r="615" ht="15.75" customHeight="1">
      <c r="A615" s="25"/>
      <c r="C615" s="21"/>
    </row>
    <row r="616" ht="15.75" customHeight="1">
      <c r="A616" s="25"/>
      <c r="C616" s="21"/>
    </row>
    <row r="617" ht="15.75" customHeight="1">
      <c r="A617" s="25"/>
      <c r="C617" s="21"/>
    </row>
    <row r="618" ht="15.75" customHeight="1">
      <c r="A618" s="25"/>
      <c r="C618" s="21"/>
    </row>
    <row r="619" ht="15.75" customHeight="1">
      <c r="A619" s="25"/>
      <c r="C619" s="21"/>
    </row>
    <row r="620" ht="15.75" customHeight="1">
      <c r="A620" s="25"/>
      <c r="C620" s="21"/>
    </row>
    <row r="621" ht="15.75" customHeight="1">
      <c r="A621" s="25"/>
      <c r="C621" s="21"/>
    </row>
    <row r="622" ht="15.75" customHeight="1">
      <c r="A622" s="25"/>
      <c r="C622" s="21"/>
    </row>
    <row r="623" ht="15.75" customHeight="1">
      <c r="A623" s="25"/>
      <c r="C623" s="21"/>
    </row>
    <row r="624" ht="15.75" customHeight="1">
      <c r="A624" s="25"/>
      <c r="C624" s="21"/>
    </row>
    <row r="625" ht="15.75" customHeight="1">
      <c r="A625" s="25"/>
      <c r="C625" s="21"/>
    </row>
    <row r="626" ht="15.75" customHeight="1">
      <c r="A626" s="25"/>
      <c r="C626" s="21"/>
    </row>
    <row r="627" ht="15.75" customHeight="1">
      <c r="A627" s="25"/>
      <c r="C627" s="21"/>
    </row>
    <row r="628" ht="15.75" customHeight="1">
      <c r="A628" s="25"/>
      <c r="C628" s="21"/>
    </row>
    <row r="629" ht="15.75" customHeight="1">
      <c r="A629" s="25"/>
      <c r="C629" s="21"/>
    </row>
    <row r="630" ht="15.75" customHeight="1">
      <c r="A630" s="25"/>
      <c r="C630" s="21"/>
    </row>
    <row r="631" ht="15.75" customHeight="1">
      <c r="A631" s="25"/>
      <c r="C631" s="21"/>
    </row>
    <row r="632" ht="15.75" customHeight="1">
      <c r="A632" s="25"/>
      <c r="C632" s="21"/>
    </row>
    <row r="633" ht="15.75" customHeight="1">
      <c r="A633" s="25"/>
      <c r="C633" s="21"/>
    </row>
    <row r="634" ht="15.75" customHeight="1">
      <c r="A634" s="25"/>
      <c r="C634" s="21"/>
    </row>
    <row r="635" ht="15.75" customHeight="1">
      <c r="A635" s="25"/>
      <c r="C635" s="21"/>
    </row>
    <row r="636" ht="15.75" customHeight="1">
      <c r="A636" s="25"/>
      <c r="C636" s="21"/>
    </row>
    <row r="637" ht="15.75" customHeight="1">
      <c r="A637" s="25"/>
      <c r="C637" s="21"/>
    </row>
    <row r="638" ht="15.75" customHeight="1">
      <c r="A638" s="25"/>
      <c r="C638" s="21"/>
    </row>
    <row r="639" ht="15.75" customHeight="1">
      <c r="A639" s="25"/>
      <c r="C639" s="21"/>
    </row>
    <row r="640" ht="15.75" customHeight="1">
      <c r="A640" s="25"/>
      <c r="C640" s="21"/>
    </row>
    <row r="641" ht="15.75" customHeight="1">
      <c r="A641" s="25"/>
      <c r="C641" s="21"/>
    </row>
    <row r="642" ht="15.75" customHeight="1">
      <c r="A642" s="25"/>
      <c r="C642" s="21"/>
    </row>
    <row r="643" ht="15.75" customHeight="1">
      <c r="A643" s="25"/>
      <c r="C643" s="21"/>
    </row>
    <row r="644" ht="15.75" customHeight="1">
      <c r="A644" s="25"/>
      <c r="C644" s="21"/>
    </row>
    <row r="645" ht="15.75" customHeight="1">
      <c r="A645" s="25"/>
      <c r="C645" s="21"/>
    </row>
    <row r="646" ht="15.75" customHeight="1">
      <c r="A646" s="25"/>
      <c r="C646" s="21"/>
    </row>
    <row r="647" ht="15.75" customHeight="1">
      <c r="A647" s="25"/>
      <c r="C647" s="21"/>
    </row>
    <row r="648" ht="15.75" customHeight="1">
      <c r="A648" s="25"/>
      <c r="C648" s="21"/>
    </row>
    <row r="649" ht="15.75" customHeight="1">
      <c r="A649" s="25"/>
      <c r="C649" s="21"/>
    </row>
    <row r="650" ht="15.75" customHeight="1">
      <c r="A650" s="25"/>
      <c r="C650" s="21"/>
    </row>
    <row r="651" ht="15.75" customHeight="1">
      <c r="A651" s="25"/>
      <c r="C651" s="21"/>
    </row>
    <row r="652" ht="15.75" customHeight="1">
      <c r="A652" s="25"/>
      <c r="C652" s="21"/>
    </row>
    <row r="653" ht="15.75" customHeight="1">
      <c r="A653" s="25"/>
      <c r="C653" s="21"/>
    </row>
    <row r="654" ht="15.75" customHeight="1">
      <c r="A654" s="25"/>
      <c r="C654" s="21"/>
    </row>
    <row r="655" ht="15.75" customHeight="1">
      <c r="A655" s="25"/>
      <c r="C655" s="21"/>
    </row>
    <row r="656" ht="15.75" customHeight="1">
      <c r="A656" s="25"/>
      <c r="C656" s="21"/>
    </row>
    <row r="657" ht="15.75" customHeight="1">
      <c r="A657" s="25"/>
      <c r="C657" s="21"/>
    </row>
    <row r="658" ht="15.75" customHeight="1">
      <c r="A658" s="25"/>
      <c r="C658" s="21"/>
    </row>
    <row r="659" ht="15.75" customHeight="1">
      <c r="A659" s="25"/>
      <c r="C659" s="21"/>
    </row>
    <row r="660" ht="15.75" customHeight="1">
      <c r="A660" s="25"/>
      <c r="C660" s="21"/>
    </row>
    <row r="661" ht="15.75" customHeight="1">
      <c r="A661" s="25"/>
      <c r="C661" s="21"/>
    </row>
    <row r="662" ht="15.75" customHeight="1">
      <c r="A662" s="25"/>
      <c r="C662" s="21"/>
    </row>
    <row r="663" ht="15.75" customHeight="1">
      <c r="A663" s="25"/>
      <c r="C663" s="21"/>
    </row>
    <row r="664" ht="15.75" customHeight="1">
      <c r="A664" s="25"/>
      <c r="C664" s="21"/>
    </row>
    <row r="665" ht="15.75" customHeight="1">
      <c r="A665" s="25"/>
      <c r="C665" s="21"/>
    </row>
    <row r="666" ht="15.75" customHeight="1">
      <c r="A666" s="25"/>
      <c r="C666" s="21"/>
    </row>
    <row r="667" ht="15.75" customHeight="1">
      <c r="A667" s="25"/>
      <c r="C667" s="21"/>
    </row>
    <row r="668" ht="15.75" customHeight="1">
      <c r="A668" s="25"/>
      <c r="C668" s="21"/>
    </row>
    <row r="669" ht="15.75" customHeight="1">
      <c r="A669" s="25"/>
      <c r="C669" s="21"/>
    </row>
    <row r="670" ht="15.75" customHeight="1">
      <c r="A670" s="25"/>
      <c r="C670" s="21"/>
    </row>
    <row r="671" ht="15.75" customHeight="1">
      <c r="A671" s="25"/>
      <c r="C671" s="21"/>
    </row>
    <row r="672" ht="15.75" customHeight="1">
      <c r="A672" s="25"/>
      <c r="C672" s="21"/>
    </row>
    <row r="673" ht="15.75" customHeight="1">
      <c r="A673" s="25"/>
      <c r="C673" s="21"/>
    </row>
    <row r="674" ht="15.75" customHeight="1">
      <c r="A674" s="25"/>
      <c r="C674" s="21"/>
    </row>
    <row r="675" ht="15.75" customHeight="1">
      <c r="A675" s="25"/>
      <c r="C675" s="21"/>
    </row>
    <row r="676" ht="15.75" customHeight="1">
      <c r="A676" s="25"/>
      <c r="C676" s="21"/>
    </row>
    <row r="677" ht="15.75" customHeight="1">
      <c r="A677" s="25"/>
      <c r="C677" s="21"/>
    </row>
    <row r="678" ht="15.75" customHeight="1">
      <c r="A678" s="25"/>
      <c r="C678" s="21"/>
    </row>
    <row r="679" ht="15.75" customHeight="1">
      <c r="A679" s="25"/>
      <c r="C679" s="21"/>
    </row>
    <row r="680" ht="15.75" customHeight="1">
      <c r="A680" s="25"/>
      <c r="C680" s="21"/>
    </row>
    <row r="681" ht="15.75" customHeight="1">
      <c r="A681" s="25"/>
      <c r="C681" s="21"/>
    </row>
    <row r="682" ht="15.75" customHeight="1">
      <c r="A682" s="25"/>
      <c r="C682" s="21"/>
    </row>
    <row r="683" ht="15.75" customHeight="1">
      <c r="A683" s="25"/>
      <c r="C683" s="21"/>
    </row>
    <row r="684" ht="15.75" customHeight="1">
      <c r="A684" s="25"/>
      <c r="C684" s="21"/>
    </row>
    <row r="685" ht="15.75" customHeight="1">
      <c r="A685" s="25"/>
      <c r="C685" s="21"/>
    </row>
    <row r="686" ht="15.75" customHeight="1">
      <c r="A686" s="25"/>
      <c r="C686" s="21"/>
    </row>
    <row r="687" ht="15.75" customHeight="1">
      <c r="A687" s="25"/>
      <c r="C687" s="21"/>
    </row>
    <row r="688" ht="15.75" customHeight="1">
      <c r="A688" s="25"/>
      <c r="C688" s="21"/>
    </row>
    <row r="689" ht="15.75" customHeight="1">
      <c r="A689" s="25"/>
      <c r="C689" s="21"/>
    </row>
    <row r="690" ht="15.75" customHeight="1">
      <c r="A690" s="25"/>
      <c r="C690" s="21"/>
    </row>
    <row r="691" ht="15.75" customHeight="1">
      <c r="A691" s="25"/>
      <c r="C691" s="21"/>
    </row>
    <row r="692" ht="15.75" customHeight="1">
      <c r="A692" s="25"/>
      <c r="C692" s="21"/>
    </row>
    <row r="693" ht="15.75" customHeight="1">
      <c r="A693" s="25"/>
      <c r="C693" s="21"/>
    </row>
    <row r="694" ht="15.75" customHeight="1">
      <c r="A694" s="25"/>
      <c r="C694" s="21"/>
    </row>
    <row r="695" ht="15.75" customHeight="1">
      <c r="A695" s="25"/>
      <c r="C695" s="21"/>
    </row>
    <row r="696" ht="15.75" customHeight="1">
      <c r="A696" s="25"/>
      <c r="C696" s="21"/>
    </row>
    <row r="697" ht="15.75" customHeight="1">
      <c r="A697" s="25"/>
      <c r="C697" s="21"/>
    </row>
    <row r="698" ht="15.75" customHeight="1">
      <c r="A698" s="25"/>
      <c r="C698" s="21"/>
    </row>
    <row r="699" ht="15.75" customHeight="1">
      <c r="A699" s="25"/>
      <c r="C699" s="21"/>
    </row>
    <row r="700" ht="15.75" customHeight="1">
      <c r="A700" s="25"/>
      <c r="C700" s="21"/>
    </row>
    <row r="701" ht="15.75" customHeight="1">
      <c r="A701" s="25"/>
      <c r="C701" s="21"/>
    </row>
    <row r="702" ht="15.75" customHeight="1">
      <c r="A702" s="25"/>
      <c r="C702" s="21"/>
    </row>
    <row r="703" ht="15.75" customHeight="1">
      <c r="A703" s="25"/>
      <c r="C703" s="21"/>
    </row>
    <row r="704" ht="15.75" customHeight="1">
      <c r="A704" s="25"/>
      <c r="C704" s="21"/>
    </row>
    <row r="705" ht="15.75" customHeight="1">
      <c r="A705" s="25"/>
      <c r="C705" s="21"/>
    </row>
    <row r="706" ht="15.75" customHeight="1">
      <c r="A706" s="25"/>
      <c r="C706" s="21"/>
    </row>
    <row r="707" ht="15.75" customHeight="1">
      <c r="A707" s="25"/>
      <c r="C707" s="21"/>
    </row>
    <row r="708" ht="15.75" customHeight="1">
      <c r="A708" s="25"/>
      <c r="C708" s="21"/>
    </row>
    <row r="709" ht="15.75" customHeight="1">
      <c r="A709" s="25"/>
      <c r="C709" s="21"/>
    </row>
    <row r="710" ht="15.75" customHeight="1">
      <c r="A710" s="25"/>
      <c r="C710" s="21"/>
    </row>
    <row r="711" ht="15.75" customHeight="1">
      <c r="A711" s="25"/>
      <c r="C711" s="21"/>
    </row>
    <row r="712" ht="15.75" customHeight="1">
      <c r="A712" s="25"/>
      <c r="C712" s="21"/>
    </row>
    <row r="713" ht="15.75" customHeight="1">
      <c r="A713" s="25"/>
      <c r="C713" s="21"/>
    </row>
    <row r="714" ht="15.75" customHeight="1">
      <c r="A714" s="25"/>
      <c r="C714" s="21"/>
    </row>
    <row r="715" ht="15.75" customHeight="1">
      <c r="A715" s="25"/>
      <c r="C715" s="21"/>
    </row>
    <row r="716" ht="15.75" customHeight="1">
      <c r="A716" s="25"/>
      <c r="C716" s="21"/>
    </row>
    <row r="717" ht="15.75" customHeight="1">
      <c r="A717" s="25"/>
      <c r="C717" s="21"/>
    </row>
    <row r="718" ht="15.75" customHeight="1">
      <c r="A718" s="25"/>
      <c r="C718" s="21"/>
    </row>
    <row r="719" ht="15.75" customHeight="1">
      <c r="A719" s="25"/>
      <c r="C719" s="21"/>
    </row>
    <row r="720" ht="15.75" customHeight="1">
      <c r="A720" s="25"/>
      <c r="C720" s="21"/>
    </row>
    <row r="721" ht="15.75" customHeight="1">
      <c r="A721" s="25"/>
      <c r="C721" s="21"/>
    </row>
    <row r="722" ht="15.75" customHeight="1">
      <c r="A722" s="25"/>
      <c r="C722" s="21"/>
    </row>
    <row r="723" ht="15.75" customHeight="1">
      <c r="A723" s="25"/>
      <c r="C723" s="21"/>
    </row>
    <row r="724" ht="15.75" customHeight="1">
      <c r="A724" s="25"/>
      <c r="C724" s="21"/>
    </row>
    <row r="725" ht="15.75" customHeight="1">
      <c r="A725" s="25"/>
      <c r="C725" s="21"/>
    </row>
    <row r="726" ht="15.75" customHeight="1">
      <c r="A726" s="25"/>
      <c r="C726" s="21"/>
    </row>
    <row r="727" ht="15.75" customHeight="1">
      <c r="A727" s="25"/>
      <c r="C727" s="21"/>
    </row>
    <row r="728" ht="15.75" customHeight="1">
      <c r="A728" s="25"/>
      <c r="C728" s="21"/>
    </row>
    <row r="729" ht="15.75" customHeight="1">
      <c r="A729" s="25"/>
      <c r="C729" s="21"/>
    </row>
    <row r="730" ht="15.75" customHeight="1">
      <c r="A730" s="25"/>
      <c r="C730" s="21"/>
    </row>
    <row r="731" ht="15.75" customHeight="1">
      <c r="A731" s="25"/>
      <c r="C731" s="21"/>
    </row>
    <row r="732" ht="15.75" customHeight="1">
      <c r="A732" s="25"/>
      <c r="C732" s="21"/>
    </row>
    <row r="733" ht="15.75" customHeight="1">
      <c r="A733" s="25"/>
      <c r="C733" s="21"/>
    </row>
    <row r="734" ht="15.75" customHeight="1">
      <c r="A734" s="25"/>
      <c r="C734" s="21"/>
    </row>
    <row r="735" ht="15.75" customHeight="1">
      <c r="A735" s="25"/>
      <c r="C735" s="21"/>
    </row>
    <row r="736" ht="15.75" customHeight="1">
      <c r="A736" s="25"/>
      <c r="C736" s="21"/>
    </row>
    <row r="737" ht="15.75" customHeight="1">
      <c r="A737" s="25"/>
      <c r="C737" s="21"/>
    </row>
    <row r="738" ht="15.75" customHeight="1">
      <c r="A738" s="25"/>
      <c r="C738" s="21"/>
    </row>
    <row r="739" ht="15.75" customHeight="1">
      <c r="A739" s="25"/>
      <c r="C739" s="21"/>
    </row>
    <row r="740" ht="15.75" customHeight="1">
      <c r="A740" s="25"/>
      <c r="C740" s="21"/>
    </row>
    <row r="741" ht="15.75" customHeight="1">
      <c r="A741" s="25"/>
      <c r="C741" s="21"/>
    </row>
    <row r="742" ht="15.75" customHeight="1">
      <c r="A742" s="25"/>
      <c r="C742" s="21"/>
    </row>
    <row r="743" ht="15.75" customHeight="1">
      <c r="A743" s="25"/>
      <c r="C743" s="21"/>
    </row>
    <row r="744" ht="15.75" customHeight="1">
      <c r="A744" s="25"/>
      <c r="C744" s="21"/>
    </row>
    <row r="745" ht="15.75" customHeight="1">
      <c r="A745" s="25"/>
      <c r="C745" s="21"/>
    </row>
    <row r="746" ht="15.75" customHeight="1">
      <c r="A746" s="25"/>
      <c r="C746" s="21"/>
    </row>
    <row r="747" ht="15.75" customHeight="1">
      <c r="A747" s="25"/>
      <c r="C747" s="21"/>
    </row>
    <row r="748" ht="15.75" customHeight="1">
      <c r="A748" s="25"/>
      <c r="C748" s="21"/>
    </row>
    <row r="749" ht="15.75" customHeight="1">
      <c r="A749" s="25"/>
      <c r="C749" s="21"/>
    </row>
    <row r="750" ht="15.75" customHeight="1">
      <c r="A750" s="25"/>
      <c r="C750" s="21"/>
    </row>
    <row r="751" ht="15.75" customHeight="1">
      <c r="A751" s="25"/>
      <c r="C751" s="21"/>
    </row>
    <row r="752" ht="15.75" customHeight="1">
      <c r="A752" s="25"/>
      <c r="C752" s="21"/>
    </row>
    <row r="753" ht="15.75" customHeight="1">
      <c r="A753" s="25"/>
      <c r="C753" s="21"/>
    </row>
    <row r="754" ht="15.75" customHeight="1">
      <c r="A754" s="25"/>
      <c r="C754" s="21"/>
    </row>
    <row r="755" ht="15.75" customHeight="1">
      <c r="A755" s="25"/>
      <c r="C755" s="21"/>
    </row>
    <row r="756" ht="15.75" customHeight="1">
      <c r="A756" s="25"/>
      <c r="C756" s="21"/>
    </row>
    <row r="757" ht="15.75" customHeight="1">
      <c r="A757" s="25"/>
      <c r="C757" s="21"/>
    </row>
    <row r="758" ht="15.75" customHeight="1">
      <c r="A758" s="25"/>
      <c r="C758" s="21"/>
    </row>
    <row r="759" ht="15.75" customHeight="1">
      <c r="A759" s="25"/>
      <c r="C759" s="21"/>
    </row>
    <row r="760" ht="15.75" customHeight="1">
      <c r="A760" s="25"/>
      <c r="C760" s="21"/>
    </row>
    <row r="761" ht="15.75" customHeight="1">
      <c r="A761" s="25"/>
      <c r="C761" s="21"/>
    </row>
    <row r="762" ht="15.75" customHeight="1">
      <c r="A762" s="25"/>
      <c r="C762" s="21"/>
    </row>
    <row r="763" ht="15.75" customHeight="1">
      <c r="A763" s="25"/>
      <c r="C763" s="21"/>
    </row>
    <row r="764" ht="15.75" customHeight="1">
      <c r="A764" s="25"/>
      <c r="C764" s="21"/>
    </row>
    <row r="765" ht="15.75" customHeight="1">
      <c r="A765" s="25"/>
      <c r="C765" s="21"/>
    </row>
    <row r="766" ht="15.75" customHeight="1">
      <c r="A766" s="25"/>
      <c r="C766" s="21"/>
    </row>
    <row r="767" ht="15.75" customHeight="1">
      <c r="A767" s="25"/>
      <c r="C767" s="21"/>
    </row>
    <row r="768" ht="15.75" customHeight="1">
      <c r="A768" s="25"/>
      <c r="C768" s="21"/>
    </row>
    <row r="769" ht="15.75" customHeight="1">
      <c r="A769" s="25"/>
      <c r="C769" s="21"/>
    </row>
    <row r="770" ht="15.75" customHeight="1">
      <c r="A770" s="25"/>
      <c r="C770" s="21"/>
    </row>
    <row r="771" ht="15.75" customHeight="1">
      <c r="A771" s="25"/>
      <c r="C771" s="21"/>
    </row>
    <row r="772" ht="15.75" customHeight="1">
      <c r="A772" s="25"/>
      <c r="C772" s="21"/>
    </row>
    <row r="773" ht="15.75" customHeight="1">
      <c r="A773" s="25"/>
      <c r="C773" s="21"/>
    </row>
    <row r="774" ht="15.75" customHeight="1">
      <c r="A774" s="25"/>
      <c r="C774" s="21"/>
    </row>
    <row r="775" ht="15.75" customHeight="1">
      <c r="A775" s="25"/>
      <c r="C775" s="21"/>
    </row>
    <row r="776" ht="15.75" customHeight="1">
      <c r="A776" s="25"/>
      <c r="C776" s="21"/>
    </row>
    <row r="777" ht="15.75" customHeight="1">
      <c r="A777" s="25"/>
      <c r="C777" s="21"/>
    </row>
    <row r="778" ht="15.75" customHeight="1">
      <c r="A778" s="25"/>
      <c r="C778" s="21"/>
    </row>
    <row r="779" ht="15.75" customHeight="1">
      <c r="A779" s="25"/>
      <c r="C779" s="21"/>
    </row>
    <row r="780" ht="15.75" customHeight="1">
      <c r="A780" s="25"/>
      <c r="C780" s="21"/>
    </row>
    <row r="781" ht="15.75" customHeight="1">
      <c r="A781" s="25"/>
      <c r="C781" s="21"/>
    </row>
    <row r="782" ht="15.75" customHeight="1">
      <c r="A782" s="25"/>
      <c r="C782" s="21"/>
    </row>
    <row r="783" ht="15.75" customHeight="1">
      <c r="A783" s="25"/>
      <c r="C783" s="21"/>
    </row>
    <row r="784" ht="15.75" customHeight="1">
      <c r="A784" s="25"/>
      <c r="C784" s="21"/>
    </row>
    <row r="785" ht="15.75" customHeight="1">
      <c r="A785" s="25"/>
      <c r="C785" s="21"/>
    </row>
    <row r="786" ht="15.75" customHeight="1">
      <c r="A786" s="25"/>
      <c r="C786" s="21"/>
    </row>
    <row r="787" ht="15.75" customHeight="1">
      <c r="A787" s="25"/>
      <c r="C787" s="21"/>
    </row>
    <row r="788" ht="15.75" customHeight="1">
      <c r="A788" s="25"/>
      <c r="C788" s="21"/>
    </row>
    <row r="789" ht="15.75" customHeight="1">
      <c r="A789" s="25"/>
      <c r="C789" s="21"/>
    </row>
    <row r="790" ht="15.75" customHeight="1">
      <c r="A790" s="25"/>
      <c r="C790" s="21"/>
    </row>
    <row r="791" ht="15.75" customHeight="1">
      <c r="A791" s="25"/>
      <c r="C791" s="21"/>
    </row>
    <row r="792" ht="15.75" customHeight="1">
      <c r="A792" s="25"/>
      <c r="C792" s="21"/>
    </row>
    <row r="793" ht="15.75" customHeight="1">
      <c r="A793" s="25"/>
      <c r="C793" s="21"/>
    </row>
    <row r="794" ht="15.75" customHeight="1">
      <c r="A794" s="25"/>
      <c r="C794" s="21"/>
    </row>
    <row r="795" ht="15.75" customHeight="1">
      <c r="A795" s="25"/>
      <c r="C795" s="21"/>
    </row>
    <row r="796" ht="15.75" customHeight="1">
      <c r="A796" s="25"/>
      <c r="C796" s="21"/>
    </row>
    <row r="797" ht="15.75" customHeight="1">
      <c r="A797" s="25"/>
      <c r="C797" s="21"/>
    </row>
    <row r="798" ht="15.75" customHeight="1">
      <c r="A798" s="25"/>
      <c r="C798" s="21"/>
    </row>
    <row r="799" ht="15.75" customHeight="1">
      <c r="A799" s="25"/>
      <c r="C799" s="21"/>
    </row>
    <row r="800" ht="15.75" customHeight="1">
      <c r="A800" s="25"/>
      <c r="C800" s="21"/>
    </row>
    <row r="801" ht="15.75" customHeight="1">
      <c r="A801" s="25"/>
      <c r="C801" s="21"/>
    </row>
    <row r="802" ht="15.75" customHeight="1">
      <c r="A802" s="25"/>
      <c r="C802" s="21"/>
    </row>
    <row r="803" ht="15.75" customHeight="1">
      <c r="A803" s="25"/>
      <c r="C803" s="21"/>
    </row>
    <row r="804" ht="15.75" customHeight="1">
      <c r="A804" s="25"/>
      <c r="C804" s="21"/>
    </row>
    <row r="805" ht="15.75" customHeight="1">
      <c r="A805" s="25"/>
      <c r="C805" s="21"/>
    </row>
    <row r="806" ht="15.75" customHeight="1">
      <c r="A806" s="25"/>
      <c r="C806" s="21"/>
    </row>
    <row r="807" ht="15.75" customHeight="1">
      <c r="A807" s="25"/>
      <c r="C807" s="21"/>
    </row>
    <row r="808" ht="15.75" customHeight="1">
      <c r="A808" s="25"/>
      <c r="C808" s="21"/>
    </row>
    <row r="809" ht="15.75" customHeight="1">
      <c r="A809" s="25"/>
      <c r="C809" s="21"/>
    </row>
    <row r="810" ht="15.75" customHeight="1">
      <c r="A810" s="25"/>
      <c r="C810" s="21"/>
    </row>
    <row r="811" ht="15.75" customHeight="1">
      <c r="A811" s="25"/>
      <c r="C811" s="21"/>
    </row>
    <row r="812" ht="15.75" customHeight="1">
      <c r="A812" s="25"/>
      <c r="C812" s="21"/>
    </row>
    <row r="813" ht="15.75" customHeight="1">
      <c r="A813" s="25"/>
      <c r="C813" s="21"/>
    </row>
    <row r="814" ht="15.75" customHeight="1">
      <c r="A814" s="25"/>
      <c r="C814" s="21"/>
    </row>
    <row r="815" ht="15.75" customHeight="1">
      <c r="A815" s="25"/>
      <c r="C815" s="21"/>
    </row>
    <row r="816" ht="15.75" customHeight="1">
      <c r="A816" s="25"/>
      <c r="C816" s="21"/>
    </row>
    <row r="817" ht="15.75" customHeight="1">
      <c r="A817" s="25"/>
      <c r="C817" s="21"/>
    </row>
    <row r="818" ht="15.75" customHeight="1">
      <c r="A818" s="25"/>
      <c r="C818" s="21"/>
    </row>
    <row r="819" ht="15.75" customHeight="1">
      <c r="A819" s="25"/>
      <c r="C819" s="21"/>
    </row>
    <row r="820" ht="15.75" customHeight="1">
      <c r="A820" s="25"/>
      <c r="C820" s="21"/>
    </row>
    <row r="821" ht="15.75" customHeight="1">
      <c r="A821" s="25"/>
      <c r="C821" s="21"/>
    </row>
    <row r="822" ht="15.75" customHeight="1">
      <c r="A822" s="25"/>
      <c r="C822" s="21"/>
    </row>
    <row r="823" ht="15.75" customHeight="1">
      <c r="A823" s="25"/>
      <c r="C823" s="21"/>
    </row>
    <row r="824" ht="15.75" customHeight="1">
      <c r="A824" s="25"/>
      <c r="C824" s="21"/>
    </row>
    <row r="825" ht="15.75" customHeight="1">
      <c r="A825" s="25"/>
      <c r="C825" s="21"/>
    </row>
    <row r="826" ht="15.75" customHeight="1">
      <c r="A826" s="25"/>
      <c r="C826" s="21"/>
    </row>
    <row r="827" ht="15.75" customHeight="1">
      <c r="A827" s="25"/>
      <c r="C827" s="21"/>
    </row>
    <row r="828" ht="15.75" customHeight="1">
      <c r="A828" s="25"/>
      <c r="C828" s="21"/>
    </row>
    <row r="829" ht="15.75" customHeight="1">
      <c r="A829" s="25"/>
      <c r="C829" s="21"/>
    </row>
    <row r="830" ht="15.75" customHeight="1">
      <c r="A830" s="25"/>
      <c r="C830" s="21"/>
    </row>
    <row r="831" ht="15.75" customHeight="1">
      <c r="A831" s="25"/>
      <c r="C831" s="21"/>
    </row>
    <row r="832" ht="15.75" customHeight="1">
      <c r="A832" s="25"/>
      <c r="C832" s="21"/>
    </row>
    <row r="833" ht="15.75" customHeight="1">
      <c r="A833" s="25"/>
      <c r="C833" s="21"/>
    </row>
    <row r="834" ht="15.75" customHeight="1">
      <c r="A834" s="25"/>
      <c r="C834" s="21"/>
    </row>
    <row r="835" ht="15.75" customHeight="1">
      <c r="A835" s="25"/>
      <c r="C835" s="21"/>
    </row>
    <row r="836" ht="15.75" customHeight="1">
      <c r="A836" s="25"/>
      <c r="C836" s="21"/>
    </row>
    <row r="837" ht="15.75" customHeight="1">
      <c r="A837" s="25"/>
      <c r="C837" s="21"/>
    </row>
    <row r="838" ht="15.75" customHeight="1">
      <c r="A838" s="25"/>
      <c r="C838" s="21"/>
    </row>
    <row r="839" ht="15.75" customHeight="1">
      <c r="A839" s="25"/>
      <c r="C839" s="21"/>
    </row>
    <row r="840" ht="15.75" customHeight="1">
      <c r="A840" s="25"/>
      <c r="C840" s="21"/>
    </row>
    <row r="841" ht="15.75" customHeight="1">
      <c r="A841" s="25"/>
      <c r="C841" s="21"/>
    </row>
    <row r="842" ht="15.75" customHeight="1">
      <c r="A842" s="25"/>
      <c r="C842" s="21"/>
    </row>
    <row r="843" ht="15.75" customHeight="1">
      <c r="A843" s="25"/>
      <c r="C843" s="21"/>
    </row>
    <row r="844" ht="15.75" customHeight="1">
      <c r="A844" s="25"/>
      <c r="C844" s="21"/>
    </row>
    <row r="845" ht="15.75" customHeight="1">
      <c r="A845" s="25"/>
      <c r="C845" s="21"/>
    </row>
    <row r="846" ht="15.75" customHeight="1">
      <c r="A846" s="25"/>
      <c r="C846" s="21"/>
    </row>
    <row r="847" ht="15.75" customHeight="1">
      <c r="A847" s="25"/>
      <c r="C847" s="21"/>
    </row>
    <row r="848" ht="15.75" customHeight="1">
      <c r="A848" s="25"/>
      <c r="C848" s="21"/>
    </row>
    <row r="849" ht="15.75" customHeight="1">
      <c r="A849" s="25"/>
      <c r="C849" s="21"/>
    </row>
    <row r="850" ht="15.75" customHeight="1">
      <c r="A850" s="25"/>
      <c r="C850" s="21"/>
    </row>
    <row r="851" ht="15.75" customHeight="1">
      <c r="A851" s="25"/>
      <c r="C851" s="21"/>
    </row>
    <row r="852" ht="15.75" customHeight="1">
      <c r="A852" s="25"/>
      <c r="C852" s="21"/>
    </row>
    <row r="853" ht="15.75" customHeight="1">
      <c r="A853" s="25"/>
      <c r="C853" s="21"/>
    </row>
    <row r="854" ht="15.75" customHeight="1">
      <c r="A854" s="25"/>
      <c r="C854" s="21"/>
    </row>
    <row r="855" ht="15.75" customHeight="1">
      <c r="A855" s="25"/>
      <c r="C855" s="21"/>
    </row>
    <row r="856" ht="15.75" customHeight="1">
      <c r="A856" s="25"/>
      <c r="C856" s="21"/>
    </row>
    <row r="857" ht="15.75" customHeight="1">
      <c r="A857" s="25"/>
      <c r="C857" s="21"/>
    </row>
    <row r="858" ht="15.75" customHeight="1">
      <c r="A858" s="25"/>
      <c r="C858" s="21"/>
    </row>
    <row r="859" ht="15.75" customHeight="1">
      <c r="A859" s="25"/>
      <c r="C859" s="21"/>
    </row>
    <row r="860" ht="15.75" customHeight="1">
      <c r="A860" s="25"/>
      <c r="C860" s="21"/>
    </row>
    <row r="861" ht="15.75" customHeight="1">
      <c r="A861" s="25"/>
      <c r="C861" s="21"/>
    </row>
    <row r="862" ht="15.75" customHeight="1">
      <c r="A862" s="25"/>
      <c r="C862" s="21"/>
    </row>
    <row r="863" ht="15.75" customHeight="1">
      <c r="A863" s="25"/>
      <c r="C863" s="21"/>
    </row>
    <row r="864" ht="15.75" customHeight="1">
      <c r="A864" s="25"/>
      <c r="C864" s="21"/>
    </row>
    <row r="865" ht="15.75" customHeight="1">
      <c r="A865" s="25"/>
      <c r="C865" s="21"/>
    </row>
    <row r="866" ht="15.75" customHeight="1">
      <c r="A866" s="25"/>
      <c r="C866" s="21"/>
    </row>
    <row r="867" ht="15.75" customHeight="1">
      <c r="A867" s="25"/>
      <c r="C867" s="21"/>
    </row>
    <row r="868" ht="15.75" customHeight="1">
      <c r="A868" s="25"/>
      <c r="C868" s="21"/>
    </row>
    <row r="869" ht="15.75" customHeight="1">
      <c r="A869" s="25"/>
      <c r="C869" s="21"/>
    </row>
    <row r="870" ht="15.75" customHeight="1">
      <c r="A870" s="25"/>
      <c r="C870" s="21"/>
    </row>
    <row r="871" ht="15.75" customHeight="1">
      <c r="A871" s="25"/>
      <c r="C871" s="21"/>
    </row>
    <row r="872" ht="15.75" customHeight="1">
      <c r="A872" s="25"/>
      <c r="C872" s="21"/>
    </row>
    <row r="873" ht="15.75" customHeight="1">
      <c r="A873" s="25"/>
      <c r="C873" s="21"/>
    </row>
    <row r="874" ht="15.75" customHeight="1">
      <c r="A874" s="25"/>
      <c r="C874" s="21"/>
    </row>
    <row r="875" ht="15.75" customHeight="1">
      <c r="A875" s="25"/>
      <c r="C875" s="21"/>
    </row>
    <row r="876" ht="15.75" customHeight="1">
      <c r="A876" s="25"/>
      <c r="C876" s="21"/>
    </row>
    <row r="877" ht="15.75" customHeight="1">
      <c r="A877" s="25"/>
      <c r="C877" s="21"/>
    </row>
    <row r="878" ht="15.75" customHeight="1">
      <c r="A878" s="25"/>
      <c r="C878" s="21"/>
    </row>
    <row r="879" ht="15.75" customHeight="1">
      <c r="A879" s="25"/>
      <c r="C879" s="21"/>
    </row>
    <row r="880" ht="15.75" customHeight="1">
      <c r="A880" s="25"/>
      <c r="C880" s="21"/>
    </row>
    <row r="881" ht="15.75" customHeight="1">
      <c r="A881" s="25"/>
      <c r="C881" s="21"/>
    </row>
    <row r="882" ht="15.75" customHeight="1">
      <c r="A882" s="25"/>
      <c r="C882" s="21"/>
    </row>
    <row r="883" ht="15.75" customHeight="1">
      <c r="A883" s="25"/>
      <c r="C883" s="21"/>
    </row>
    <row r="884" ht="15.75" customHeight="1">
      <c r="A884" s="25"/>
      <c r="C884" s="21"/>
    </row>
    <row r="885" ht="15.75" customHeight="1">
      <c r="A885" s="25"/>
      <c r="C885" s="21"/>
    </row>
    <row r="886" ht="15.75" customHeight="1">
      <c r="A886" s="25"/>
      <c r="C886" s="21"/>
    </row>
    <row r="887" ht="15.75" customHeight="1">
      <c r="A887" s="25"/>
      <c r="C887" s="21"/>
    </row>
    <row r="888" ht="15.75" customHeight="1">
      <c r="A888" s="25"/>
      <c r="C888" s="21"/>
    </row>
    <row r="889" ht="15.75" customHeight="1">
      <c r="A889" s="25"/>
      <c r="C889" s="21"/>
    </row>
    <row r="890" ht="15.75" customHeight="1">
      <c r="A890" s="25"/>
      <c r="C890" s="21"/>
    </row>
    <row r="891" ht="15.75" customHeight="1">
      <c r="A891" s="25"/>
      <c r="C891" s="21"/>
    </row>
    <row r="892" ht="15.75" customHeight="1">
      <c r="A892" s="25"/>
      <c r="C892" s="21"/>
    </row>
    <row r="893" ht="15.75" customHeight="1">
      <c r="A893" s="25"/>
      <c r="C893" s="21"/>
    </row>
    <row r="894" ht="15.75" customHeight="1">
      <c r="A894" s="25"/>
      <c r="C894" s="21"/>
    </row>
    <row r="895" ht="15.75" customHeight="1">
      <c r="A895" s="25"/>
      <c r="C895" s="21"/>
    </row>
    <row r="896" ht="15.75" customHeight="1">
      <c r="A896" s="25"/>
      <c r="C896" s="21"/>
    </row>
    <row r="897" ht="15.75" customHeight="1">
      <c r="A897" s="25"/>
      <c r="C897" s="21"/>
    </row>
    <row r="898" ht="15.75" customHeight="1">
      <c r="A898" s="25"/>
      <c r="C898" s="21"/>
    </row>
    <row r="899" ht="15.75" customHeight="1">
      <c r="A899" s="25"/>
      <c r="C899" s="21"/>
    </row>
    <row r="900" ht="15.75" customHeight="1">
      <c r="A900" s="25"/>
      <c r="C900" s="21"/>
    </row>
    <row r="901" ht="15.75" customHeight="1">
      <c r="A901" s="25"/>
      <c r="C901" s="21"/>
    </row>
    <row r="902" ht="15.75" customHeight="1">
      <c r="A902" s="25"/>
      <c r="C902" s="21"/>
    </row>
    <row r="903" ht="15.75" customHeight="1">
      <c r="A903" s="25"/>
      <c r="C903" s="21"/>
    </row>
    <row r="904" ht="15.75" customHeight="1">
      <c r="A904" s="25"/>
      <c r="C904" s="21"/>
    </row>
    <row r="905" ht="15.75" customHeight="1">
      <c r="A905" s="25"/>
      <c r="C905" s="21"/>
    </row>
    <row r="906" ht="15.75" customHeight="1">
      <c r="A906" s="25"/>
      <c r="C906" s="21"/>
    </row>
    <row r="907" ht="15.75" customHeight="1">
      <c r="A907" s="25"/>
      <c r="C907" s="21"/>
    </row>
    <row r="908" ht="15.75" customHeight="1">
      <c r="A908" s="25"/>
      <c r="C908" s="21"/>
    </row>
    <row r="909" ht="15.75" customHeight="1">
      <c r="A909" s="25"/>
      <c r="C909" s="21"/>
    </row>
    <row r="910" ht="15.75" customHeight="1">
      <c r="A910" s="25"/>
      <c r="C910" s="21"/>
    </row>
    <row r="911" ht="15.75" customHeight="1">
      <c r="A911" s="25"/>
      <c r="C911" s="21"/>
    </row>
    <row r="912" ht="15.75" customHeight="1">
      <c r="A912" s="25"/>
      <c r="C912" s="21"/>
    </row>
    <row r="913" ht="15.75" customHeight="1">
      <c r="A913" s="25"/>
      <c r="C913" s="21"/>
    </row>
    <row r="914" ht="15.75" customHeight="1">
      <c r="A914" s="25"/>
      <c r="C914" s="21"/>
    </row>
    <row r="915" ht="15.75" customHeight="1">
      <c r="A915" s="25"/>
      <c r="C915" s="21"/>
    </row>
    <row r="916" ht="15.75" customHeight="1">
      <c r="A916" s="25"/>
      <c r="C916" s="21"/>
    </row>
    <row r="917" ht="15.75" customHeight="1">
      <c r="A917" s="25"/>
      <c r="C917" s="21"/>
    </row>
    <row r="918" ht="15.75" customHeight="1">
      <c r="A918" s="25"/>
      <c r="C918" s="21"/>
    </row>
    <row r="919" ht="15.75" customHeight="1">
      <c r="A919" s="25"/>
      <c r="C919" s="21"/>
    </row>
    <row r="920" ht="15.75" customHeight="1">
      <c r="A920" s="25"/>
      <c r="C920" s="21"/>
    </row>
    <row r="921" ht="15.75" customHeight="1">
      <c r="A921" s="25"/>
      <c r="C921" s="21"/>
    </row>
    <row r="922" ht="15.75" customHeight="1">
      <c r="A922" s="25"/>
      <c r="C922" s="21"/>
    </row>
    <row r="923" ht="15.75" customHeight="1">
      <c r="A923" s="25"/>
      <c r="C923" s="21"/>
    </row>
    <row r="924" ht="15.75" customHeight="1">
      <c r="A924" s="25"/>
      <c r="C924" s="21"/>
    </row>
    <row r="925" ht="15.75" customHeight="1">
      <c r="A925" s="25"/>
      <c r="C925" s="21"/>
    </row>
    <row r="926" ht="15.75" customHeight="1">
      <c r="A926" s="25"/>
      <c r="C926" s="21"/>
    </row>
    <row r="927" ht="15.75" customHeight="1">
      <c r="A927" s="25"/>
      <c r="C927" s="21"/>
    </row>
    <row r="928" ht="15.75" customHeight="1">
      <c r="A928" s="25"/>
      <c r="C928" s="21"/>
    </row>
    <row r="929" ht="15.75" customHeight="1">
      <c r="A929" s="25"/>
      <c r="C929" s="21"/>
    </row>
    <row r="930" ht="15.75" customHeight="1">
      <c r="A930" s="25"/>
      <c r="C930" s="21"/>
    </row>
    <row r="931" ht="15.75" customHeight="1">
      <c r="A931" s="25"/>
      <c r="C931" s="21"/>
    </row>
    <row r="932" ht="15.75" customHeight="1">
      <c r="A932" s="25"/>
      <c r="C932" s="21"/>
    </row>
    <row r="933" ht="15.75" customHeight="1">
      <c r="A933" s="25"/>
      <c r="C933" s="21"/>
    </row>
    <row r="934" ht="15.75" customHeight="1">
      <c r="A934" s="25"/>
      <c r="C934" s="21"/>
    </row>
    <row r="935" ht="15.75" customHeight="1">
      <c r="A935" s="25"/>
      <c r="C935" s="21"/>
    </row>
    <row r="936" ht="15.75" customHeight="1">
      <c r="A936" s="25"/>
      <c r="C936" s="21"/>
    </row>
    <row r="937" ht="15.75" customHeight="1">
      <c r="A937" s="25"/>
      <c r="C937" s="21"/>
    </row>
    <row r="938" ht="15.75" customHeight="1">
      <c r="A938" s="25"/>
      <c r="C938" s="21"/>
    </row>
    <row r="939" ht="15.75" customHeight="1">
      <c r="A939" s="25"/>
      <c r="C939" s="21"/>
    </row>
    <row r="940" ht="15.75" customHeight="1">
      <c r="A940" s="25"/>
      <c r="C940" s="21"/>
    </row>
    <row r="941" ht="15.75" customHeight="1">
      <c r="A941" s="25"/>
      <c r="C941" s="21"/>
    </row>
    <row r="942" ht="15.75" customHeight="1">
      <c r="A942" s="25"/>
      <c r="C942" s="21"/>
    </row>
    <row r="943" ht="15.75" customHeight="1">
      <c r="A943" s="25"/>
      <c r="C943" s="21"/>
    </row>
    <row r="944" ht="15.75" customHeight="1">
      <c r="A944" s="25"/>
      <c r="C944" s="21"/>
    </row>
    <row r="945" ht="15.75" customHeight="1">
      <c r="A945" s="25"/>
      <c r="C945" s="21"/>
    </row>
    <row r="946" ht="15.75" customHeight="1">
      <c r="A946" s="25"/>
      <c r="C946" s="21"/>
    </row>
    <row r="947" ht="15.75" customHeight="1">
      <c r="A947" s="25"/>
      <c r="C947" s="21"/>
    </row>
    <row r="948" ht="15.75" customHeight="1">
      <c r="A948" s="25"/>
      <c r="C948" s="21"/>
    </row>
    <row r="949" ht="15.75" customHeight="1">
      <c r="A949" s="25"/>
      <c r="C949" s="21"/>
    </row>
    <row r="950" ht="15.75" customHeight="1">
      <c r="A950" s="25"/>
      <c r="C950" s="21"/>
    </row>
    <row r="951" ht="15.75" customHeight="1">
      <c r="A951" s="25"/>
      <c r="C951" s="21"/>
    </row>
    <row r="952" ht="15.75" customHeight="1">
      <c r="A952" s="25"/>
      <c r="C952" s="21"/>
    </row>
    <row r="953" ht="15.75" customHeight="1">
      <c r="A953" s="25"/>
      <c r="C953" s="21"/>
    </row>
    <row r="954" ht="15.75" customHeight="1">
      <c r="A954" s="25"/>
      <c r="C954" s="21"/>
    </row>
    <row r="955" ht="15.75" customHeight="1">
      <c r="A955" s="25"/>
      <c r="C955" s="21"/>
    </row>
    <row r="956" ht="15.75" customHeight="1">
      <c r="A956" s="25"/>
      <c r="C956" s="21"/>
    </row>
    <row r="957" ht="15.75" customHeight="1">
      <c r="A957" s="25"/>
      <c r="C957" s="21"/>
    </row>
    <row r="958" ht="15.75" customHeight="1">
      <c r="A958" s="25"/>
      <c r="C958" s="21"/>
    </row>
    <row r="959" ht="15.75" customHeight="1">
      <c r="A959" s="25"/>
      <c r="C959" s="21"/>
    </row>
    <row r="960" ht="15.75" customHeight="1">
      <c r="A960" s="25"/>
      <c r="C960" s="21"/>
    </row>
    <row r="961" ht="15.75" customHeight="1">
      <c r="A961" s="25"/>
      <c r="C961" s="21"/>
    </row>
    <row r="962" ht="15.75" customHeight="1">
      <c r="A962" s="25"/>
      <c r="C962" s="21"/>
    </row>
    <row r="963" ht="15.75" customHeight="1">
      <c r="A963" s="25"/>
      <c r="C963" s="21"/>
    </row>
    <row r="964" ht="15.75" customHeight="1">
      <c r="A964" s="25"/>
      <c r="C964" s="21"/>
    </row>
    <row r="965" ht="15.75" customHeight="1">
      <c r="A965" s="25"/>
      <c r="C965" s="21"/>
    </row>
    <row r="966" ht="15.75" customHeight="1">
      <c r="A966" s="25"/>
      <c r="C966" s="21"/>
    </row>
    <row r="967" ht="15.75" customHeight="1">
      <c r="A967" s="25"/>
      <c r="C967" s="21"/>
    </row>
    <row r="968" ht="15.75" customHeight="1">
      <c r="A968" s="25"/>
      <c r="C968" s="21"/>
    </row>
    <row r="969" ht="15.75" customHeight="1">
      <c r="A969" s="25"/>
      <c r="C969" s="21"/>
    </row>
    <row r="970" ht="15.75" customHeight="1">
      <c r="A970" s="25"/>
      <c r="C970" s="21"/>
    </row>
    <row r="971" ht="15.75" customHeight="1">
      <c r="A971" s="25"/>
      <c r="C971" s="21"/>
    </row>
    <row r="972" ht="15.75" customHeight="1">
      <c r="A972" s="25"/>
      <c r="C972" s="21"/>
    </row>
    <row r="973" ht="15.75" customHeight="1">
      <c r="A973" s="25"/>
      <c r="C973" s="21"/>
    </row>
    <row r="974" ht="15.75" customHeight="1">
      <c r="A974" s="25"/>
      <c r="C974" s="21"/>
    </row>
    <row r="975" ht="15.75" customHeight="1">
      <c r="A975" s="25"/>
      <c r="C975" s="21"/>
    </row>
    <row r="976" ht="15.75" customHeight="1">
      <c r="A976" s="25"/>
      <c r="C976" s="21"/>
    </row>
    <row r="977" ht="15.75" customHeight="1">
      <c r="A977" s="25"/>
      <c r="C977" s="21"/>
    </row>
    <row r="978" ht="15.75" customHeight="1">
      <c r="A978" s="25"/>
      <c r="C978" s="21"/>
    </row>
    <row r="979" ht="15.75" customHeight="1">
      <c r="A979" s="25"/>
      <c r="C979" s="21"/>
    </row>
    <row r="980" ht="15.75" customHeight="1">
      <c r="A980" s="25"/>
      <c r="C980" s="21"/>
    </row>
    <row r="981" ht="15.75" customHeight="1">
      <c r="A981" s="25"/>
      <c r="C981" s="21"/>
    </row>
    <row r="982" ht="15.75" customHeight="1">
      <c r="A982" s="25"/>
      <c r="C982" s="21"/>
    </row>
    <row r="983" ht="15.75" customHeight="1">
      <c r="A983" s="25"/>
      <c r="C983" s="21"/>
    </row>
    <row r="984" ht="15.75" customHeight="1">
      <c r="A984" s="25"/>
      <c r="C984" s="21"/>
    </row>
    <row r="985" ht="15.75" customHeight="1">
      <c r="A985" s="25"/>
      <c r="C985" s="21"/>
    </row>
    <row r="986" ht="15.75" customHeight="1">
      <c r="A986" s="25"/>
      <c r="C986" s="21"/>
    </row>
    <row r="987" ht="15.75" customHeight="1">
      <c r="A987" s="25"/>
      <c r="C987" s="21"/>
    </row>
    <row r="988" ht="15.75" customHeight="1">
      <c r="A988" s="25"/>
      <c r="C988" s="21"/>
    </row>
    <row r="989" ht="15.75" customHeight="1">
      <c r="A989" s="25"/>
      <c r="C989" s="21"/>
    </row>
    <row r="990" ht="15.75" customHeight="1">
      <c r="A990" s="25"/>
      <c r="C990" s="21"/>
    </row>
    <row r="991" ht="15.75" customHeight="1">
      <c r="A991" s="25"/>
      <c r="C991" s="21"/>
    </row>
    <row r="992" ht="15.75" customHeight="1">
      <c r="A992" s="25"/>
      <c r="C992" s="21"/>
    </row>
    <row r="993" ht="15.75" customHeight="1">
      <c r="A993" s="25"/>
      <c r="C993" s="21"/>
    </row>
    <row r="994" ht="15.75" customHeight="1">
      <c r="A994" s="25"/>
      <c r="C994" s="21"/>
    </row>
    <row r="995" ht="15.75" customHeight="1">
      <c r="A995" s="25"/>
      <c r="C995" s="21"/>
    </row>
    <row r="996" ht="15.75" customHeight="1">
      <c r="A996" s="25"/>
      <c r="C996" s="21"/>
    </row>
    <row r="997" ht="15.75" customHeight="1">
      <c r="A997" s="25"/>
      <c r="C997" s="21"/>
    </row>
    <row r="998" ht="15.75" customHeight="1">
      <c r="A998" s="25"/>
      <c r="C998" s="21"/>
    </row>
    <row r="999" ht="15.75" customHeight="1">
      <c r="A999" s="25"/>
      <c r="C999" s="21"/>
    </row>
    <row r="1000" ht="15.75" customHeight="1">
      <c r="A1000" s="25"/>
      <c r="C1000" s="21"/>
    </row>
  </sheetData>
  <printOptions/>
  <pageMargins bottom="0.75" footer="0.0" header="0.0" left="0.25" right="0.25" top="0.75"/>
  <pageSetup paperSize="9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14"/>
    <col customWidth="1" min="3" max="3" width="10.57"/>
    <col customWidth="1" min="4" max="4" width="10.86"/>
    <col customWidth="1" min="5" max="6" width="11.29"/>
    <col customWidth="1" min="7" max="7" width="11.71"/>
    <col customWidth="1" min="8" max="8" width="11.29"/>
    <col customWidth="1" min="9" max="9" width="11.43"/>
    <col customWidth="1" min="10" max="10" width="12.14"/>
    <col customWidth="1" min="11" max="11" width="11.86"/>
    <col customWidth="1" min="12" max="12" width="12.43"/>
    <col customWidth="1" min="13" max="13" width="11.43"/>
    <col customWidth="1" min="14" max="14" width="13.0"/>
    <col customWidth="1" min="15" max="15" width="11.43"/>
    <col customWidth="1" min="16" max="16" width="16.29"/>
    <col customWidth="1" min="17" max="26" width="8.71"/>
  </cols>
  <sheetData>
    <row r="1">
      <c r="A1" s="7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15" t="s">
        <v>26</v>
      </c>
    </row>
    <row r="2">
      <c r="A2" s="16">
        <v>45962.0</v>
      </c>
      <c r="B2" s="3">
        <v>0.0</v>
      </c>
      <c r="C2" s="3">
        <v>0.0</v>
      </c>
      <c r="D2" s="3">
        <v>2.0</v>
      </c>
      <c r="E2" s="3">
        <v>1.0</v>
      </c>
      <c r="F2" s="3">
        <v>0.0</v>
      </c>
      <c r="G2" s="3">
        <v>0.0</v>
      </c>
      <c r="H2" s="3">
        <v>5.0</v>
      </c>
      <c r="I2" s="3">
        <v>0.0</v>
      </c>
      <c r="J2" s="3">
        <v>4.0</v>
      </c>
      <c r="K2" s="3">
        <v>0.0</v>
      </c>
      <c r="L2" s="3">
        <v>1.0</v>
      </c>
      <c r="M2" s="3">
        <v>2.0</v>
      </c>
      <c r="N2" s="3">
        <v>4.0</v>
      </c>
      <c r="O2" s="3">
        <v>0.0</v>
      </c>
      <c r="P2" s="3">
        <f>SUM(NOV_2025!$B2:$O2)</f>
        <v>19</v>
      </c>
    </row>
    <row r="3">
      <c r="A3" s="16">
        <v>45963.0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2.0</v>
      </c>
      <c r="I3" s="3">
        <v>0.0</v>
      </c>
      <c r="J3" s="3">
        <v>8.0</v>
      </c>
      <c r="K3" s="3">
        <v>0.0</v>
      </c>
      <c r="L3" s="3">
        <v>0.0</v>
      </c>
      <c r="M3" s="3">
        <v>0.0</v>
      </c>
      <c r="N3" s="3">
        <v>7.0</v>
      </c>
      <c r="O3" s="3">
        <v>1.0</v>
      </c>
      <c r="P3" s="3">
        <f>SUM(NOV_2025!$B3:$O3)</f>
        <v>18</v>
      </c>
    </row>
    <row r="4">
      <c r="A4" s="16">
        <v>45964.0</v>
      </c>
      <c r="B4" s="3">
        <v>0.0</v>
      </c>
      <c r="C4" s="3">
        <v>2.0</v>
      </c>
      <c r="D4" s="3">
        <v>3.0</v>
      </c>
      <c r="E4" s="3">
        <v>1.0</v>
      </c>
      <c r="F4" s="3">
        <v>5.0</v>
      </c>
      <c r="G4" s="3">
        <v>0.0</v>
      </c>
      <c r="H4" s="3">
        <v>10.0</v>
      </c>
      <c r="I4" s="3">
        <v>0.0</v>
      </c>
      <c r="J4" s="3">
        <v>14.0</v>
      </c>
      <c r="K4" s="3">
        <v>1.0</v>
      </c>
      <c r="L4" s="3">
        <v>0.0</v>
      </c>
      <c r="M4" s="3">
        <v>0.0</v>
      </c>
      <c r="N4" s="3">
        <v>18.0</v>
      </c>
      <c r="O4" s="3">
        <v>5.0</v>
      </c>
      <c r="P4" s="3">
        <f>SUM(NOV_2025!$B4:$O4)</f>
        <v>59</v>
      </c>
    </row>
    <row r="5">
      <c r="A5" s="16">
        <v>45965.0</v>
      </c>
      <c r="B5" s="3">
        <v>0.0</v>
      </c>
      <c r="C5" s="3">
        <v>0.0</v>
      </c>
      <c r="D5" s="3">
        <v>9.0</v>
      </c>
      <c r="E5" s="3">
        <v>0.0</v>
      </c>
      <c r="F5" s="3">
        <v>5.0</v>
      </c>
      <c r="G5" s="3">
        <v>1.0</v>
      </c>
      <c r="H5" s="3">
        <v>2.0</v>
      </c>
      <c r="I5" s="3">
        <v>1.0</v>
      </c>
      <c r="J5" s="3">
        <v>7.0</v>
      </c>
      <c r="K5" s="3">
        <v>3.0</v>
      </c>
      <c r="L5" s="3">
        <v>4.0</v>
      </c>
      <c r="M5" s="3">
        <v>5.0</v>
      </c>
      <c r="N5" s="3">
        <v>14.0</v>
      </c>
      <c r="O5" s="3">
        <v>1.0</v>
      </c>
      <c r="P5" s="3">
        <f>SUM(NOV_2025!$B5:$O5)</f>
        <v>52</v>
      </c>
    </row>
    <row r="6">
      <c r="A6" s="16">
        <v>45966.0</v>
      </c>
      <c r="B6" s="3">
        <v>2.0</v>
      </c>
      <c r="C6" s="3">
        <v>0.0</v>
      </c>
      <c r="D6" s="3">
        <v>5.0</v>
      </c>
      <c r="E6" s="3">
        <v>0.0</v>
      </c>
      <c r="F6" s="3">
        <v>3.0</v>
      </c>
      <c r="G6" s="3">
        <v>0.0</v>
      </c>
      <c r="H6" s="3">
        <v>0.0</v>
      </c>
      <c r="I6" s="3">
        <v>2.0</v>
      </c>
      <c r="J6" s="3">
        <v>13.0</v>
      </c>
      <c r="K6" s="3">
        <v>0.0</v>
      </c>
      <c r="L6" s="3">
        <v>1.0</v>
      </c>
      <c r="M6" s="3">
        <v>2.0</v>
      </c>
      <c r="N6" s="3">
        <v>8.0</v>
      </c>
      <c r="O6" s="3">
        <v>4.0</v>
      </c>
      <c r="P6" s="3">
        <f>SUM(NOV_2025!$B6:$O6)</f>
        <v>40</v>
      </c>
    </row>
    <row r="7">
      <c r="A7" s="16">
        <v>45967.0</v>
      </c>
      <c r="B7" s="3">
        <v>1.0</v>
      </c>
      <c r="C7" s="3">
        <v>2.0</v>
      </c>
      <c r="D7" s="3">
        <v>1.0</v>
      </c>
      <c r="E7" s="3">
        <v>0.0</v>
      </c>
      <c r="F7" s="3">
        <v>1.0</v>
      </c>
      <c r="G7" s="3">
        <v>0.0</v>
      </c>
      <c r="H7" s="3">
        <v>0.0</v>
      </c>
      <c r="I7" s="3">
        <v>3.0</v>
      </c>
      <c r="J7" s="3">
        <v>3.0</v>
      </c>
      <c r="K7" s="3">
        <v>0.0</v>
      </c>
      <c r="L7" s="3">
        <v>0.0</v>
      </c>
      <c r="M7" s="3">
        <v>0.0</v>
      </c>
      <c r="N7" s="3">
        <v>2.0</v>
      </c>
      <c r="O7" s="3">
        <v>1.0</v>
      </c>
      <c r="P7" s="3">
        <f>SUM(NOV_2025!$B7:$O7)</f>
        <v>14</v>
      </c>
    </row>
    <row r="8">
      <c r="A8" s="16">
        <v>45968.0</v>
      </c>
      <c r="B8" s="3">
        <v>0.0</v>
      </c>
      <c r="C8" s="3">
        <v>0.0</v>
      </c>
      <c r="D8" s="3">
        <v>0.0</v>
      </c>
      <c r="E8" s="3">
        <v>1.0</v>
      </c>
      <c r="F8" s="3">
        <v>0.0</v>
      </c>
      <c r="G8" s="3">
        <v>0.0</v>
      </c>
      <c r="H8" s="3">
        <v>0.0</v>
      </c>
      <c r="I8" s="3">
        <v>0.0</v>
      </c>
      <c r="J8" s="3">
        <v>2.0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f>SUM(NOV_2025!$B8:$O8)</f>
        <v>3</v>
      </c>
    </row>
    <row r="9">
      <c r="A9" s="16">
        <v>45969.0</v>
      </c>
      <c r="B9" s="3">
        <v>0.0</v>
      </c>
      <c r="C9" s="3">
        <v>0.0</v>
      </c>
      <c r="D9" s="3">
        <v>1.0</v>
      </c>
      <c r="E9" s="3">
        <v>0.0</v>
      </c>
      <c r="F9" s="3">
        <v>5.0</v>
      </c>
      <c r="G9" s="3">
        <v>0.0</v>
      </c>
      <c r="H9" s="3">
        <v>3.0</v>
      </c>
      <c r="I9" s="3">
        <v>0.0</v>
      </c>
      <c r="J9" s="3">
        <v>10.0</v>
      </c>
      <c r="K9" s="3">
        <v>0.0</v>
      </c>
      <c r="L9" s="3">
        <v>0.0</v>
      </c>
      <c r="M9" s="3">
        <v>1.0</v>
      </c>
      <c r="N9" s="3">
        <v>7.0</v>
      </c>
      <c r="O9" s="3">
        <v>2.0</v>
      </c>
      <c r="P9" s="3">
        <f>SUM(NOV_2025!$B9:$O9)</f>
        <v>29</v>
      </c>
    </row>
    <row r="10">
      <c r="A10" s="16">
        <v>45970.0</v>
      </c>
      <c r="B10" s="3">
        <v>0.0</v>
      </c>
      <c r="C10" s="3">
        <v>0.0</v>
      </c>
      <c r="D10" s="3">
        <v>3.0</v>
      </c>
      <c r="E10" s="3">
        <v>4.0</v>
      </c>
      <c r="F10" s="3">
        <v>6.0</v>
      </c>
      <c r="G10" s="3">
        <v>0.0</v>
      </c>
      <c r="H10" s="3">
        <v>0.0</v>
      </c>
      <c r="I10" s="3">
        <v>0.0</v>
      </c>
      <c r="J10" s="3">
        <v>4.0</v>
      </c>
      <c r="K10" s="3">
        <v>0.0</v>
      </c>
      <c r="L10" s="3">
        <v>0.0</v>
      </c>
      <c r="M10" s="3">
        <v>2.0</v>
      </c>
      <c r="N10" s="3">
        <v>8.0</v>
      </c>
      <c r="O10" s="3">
        <v>2.0</v>
      </c>
      <c r="P10" s="3">
        <f>SUM(NOV_2025!$B10:$O10)</f>
        <v>29</v>
      </c>
    </row>
    <row r="11">
      <c r="A11" s="16">
        <v>45971.0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2.0</v>
      </c>
      <c r="H11" s="3">
        <v>0.0</v>
      </c>
      <c r="I11" s="3">
        <v>1.0</v>
      </c>
      <c r="J11" s="3">
        <v>2.0</v>
      </c>
      <c r="K11" s="3">
        <v>1.0</v>
      </c>
      <c r="L11" s="3">
        <v>1.0</v>
      </c>
      <c r="M11" s="3">
        <v>0.0</v>
      </c>
      <c r="N11" s="3">
        <v>5.0</v>
      </c>
      <c r="O11" s="3">
        <v>0.0</v>
      </c>
      <c r="P11" s="3">
        <f>SUM(NOV_2025!$B11:$O11)</f>
        <v>12</v>
      </c>
    </row>
    <row r="12">
      <c r="A12" s="16">
        <v>45972.0</v>
      </c>
      <c r="B12" s="3">
        <v>0.0</v>
      </c>
      <c r="C12" s="3">
        <v>0.0</v>
      </c>
      <c r="D12" s="3">
        <v>1.0</v>
      </c>
      <c r="E12" s="3">
        <v>1.0</v>
      </c>
      <c r="F12" s="3">
        <v>0.0</v>
      </c>
      <c r="G12" s="3">
        <v>0.0</v>
      </c>
      <c r="H12" s="3">
        <v>0.0</v>
      </c>
      <c r="I12" s="3">
        <v>0.0</v>
      </c>
      <c r="J12" s="3">
        <v>4.0</v>
      </c>
      <c r="K12" s="3">
        <v>0.0</v>
      </c>
      <c r="L12" s="3">
        <v>1.0</v>
      </c>
      <c r="M12" s="3">
        <v>1.0</v>
      </c>
      <c r="N12" s="3">
        <v>12.0</v>
      </c>
      <c r="O12" s="3">
        <v>0.0</v>
      </c>
      <c r="P12" s="3">
        <f>SUM(NOV_2025!$B12:$O12)</f>
        <v>20</v>
      </c>
    </row>
    <row r="13">
      <c r="A13" s="16">
        <v>45973.0</v>
      </c>
      <c r="B13" s="3">
        <v>1.0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1.0</v>
      </c>
      <c r="K13" s="3">
        <v>0.0</v>
      </c>
      <c r="L13" s="3">
        <v>0.0</v>
      </c>
      <c r="M13" s="3">
        <v>0.0</v>
      </c>
      <c r="N13" s="3">
        <v>2.0</v>
      </c>
      <c r="O13" s="3">
        <v>0.0</v>
      </c>
      <c r="P13" s="3">
        <f>SUM(NOV_2025!$B13:$O13)</f>
        <v>4</v>
      </c>
    </row>
    <row r="14">
      <c r="A14" s="16">
        <v>45974.0</v>
      </c>
      <c r="B14" s="3">
        <v>0.0</v>
      </c>
      <c r="C14" s="3">
        <v>0.0</v>
      </c>
      <c r="D14" s="3">
        <v>3.0</v>
      </c>
      <c r="E14" s="3">
        <v>1.0</v>
      </c>
      <c r="F14" s="3">
        <v>1.0</v>
      </c>
      <c r="G14" s="3">
        <v>0.0</v>
      </c>
      <c r="H14" s="3">
        <v>0.0</v>
      </c>
      <c r="I14" s="3">
        <v>0.0</v>
      </c>
      <c r="J14" s="3">
        <v>2.0</v>
      </c>
      <c r="K14" s="3">
        <v>1.0</v>
      </c>
      <c r="L14" s="3">
        <v>3.0</v>
      </c>
      <c r="M14" s="3">
        <v>0.0</v>
      </c>
      <c r="N14" s="3">
        <v>0.0</v>
      </c>
      <c r="O14" s="3">
        <v>0.0</v>
      </c>
      <c r="P14" s="3">
        <f>SUM(NOV_2025!$B14:$O14)</f>
        <v>11</v>
      </c>
    </row>
    <row r="15">
      <c r="A15" s="16">
        <v>45975.0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1.0</v>
      </c>
      <c r="H15" s="3">
        <v>1.0</v>
      </c>
      <c r="I15" s="3">
        <v>0.0</v>
      </c>
      <c r="J15" s="3">
        <v>1.0</v>
      </c>
      <c r="K15" s="3">
        <v>0.0</v>
      </c>
      <c r="L15" s="3">
        <v>1.0</v>
      </c>
      <c r="M15" s="3">
        <v>0.0</v>
      </c>
      <c r="N15" s="3">
        <v>1.0</v>
      </c>
      <c r="O15" s="3">
        <v>0.0</v>
      </c>
      <c r="P15" s="3">
        <f>SUM(NOV_2025!$B15:$O15)</f>
        <v>5</v>
      </c>
    </row>
    <row r="16">
      <c r="A16" s="16">
        <v>45976.0</v>
      </c>
      <c r="B16" s="3">
        <v>5.0</v>
      </c>
      <c r="C16" s="3">
        <v>0.0</v>
      </c>
      <c r="D16" s="3">
        <v>15.0</v>
      </c>
      <c r="E16" s="3">
        <v>0.0</v>
      </c>
      <c r="F16" s="3">
        <v>3.0</v>
      </c>
      <c r="G16" s="3">
        <v>0.0</v>
      </c>
      <c r="H16" s="3">
        <v>0.0</v>
      </c>
      <c r="I16" s="3">
        <v>0.0</v>
      </c>
      <c r="J16" s="3">
        <v>10.0</v>
      </c>
      <c r="K16" s="3">
        <v>0.0</v>
      </c>
      <c r="L16" s="3">
        <v>0.0</v>
      </c>
      <c r="M16" s="3">
        <v>10.0</v>
      </c>
      <c r="N16" s="3">
        <v>0.0</v>
      </c>
      <c r="O16" s="3">
        <v>0.0</v>
      </c>
      <c r="P16" s="3">
        <f>SUM(NOV_2025!$B16:$O16)</f>
        <v>43</v>
      </c>
    </row>
    <row r="17">
      <c r="A17" s="16">
        <v>45977.0</v>
      </c>
      <c r="B17" s="3">
        <v>1.0</v>
      </c>
      <c r="C17" s="3">
        <v>0.0</v>
      </c>
      <c r="D17" s="3">
        <v>3.0</v>
      </c>
      <c r="E17" s="3">
        <v>2.0</v>
      </c>
      <c r="F17" s="3">
        <v>3.0</v>
      </c>
      <c r="G17" s="3">
        <v>0.0</v>
      </c>
      <c r="H17" s="3">
        <v>1.0</v>
      </c>
      <c r="I17" s="3">
        <v>0.0</v>
      </c>
      <c r="J17" s="3">
        <v>6.0</v>
      </c>
      <c r="K17" s="3">
        <v>0.0</v>
      </c>
      <c r="L17" s="3">
        <v>0.0</v>
      </c>
      <c r="M17" s="3">
        <v>1.0</v>
      </c>
      <c r="N17" s="3">
        <v>3.0</v>
      </c>
      <c r="O17" s="3">
        <v>1.0</v>
      </c>
      <c r="P17" s="3">
        <f>SUM(NOV_2025!$B17:$O17)</f>
        <v>21</v>
      </c>
    </row>
    <row r="18">
      <c r="A18" s="16">
        <v>45978.0</v>
      </c>
      <c r="B18" s="3">
        <v>0.0</v>
      </c>
      <c r="C18" s="3">
        <v>1.0</v>
      </c>
      <c r="D18" s="3">
        <v>3.0</v>
      </c>
      <c r="E18" s="3">
        <v>2.0</v>
      </c>
      <c r="F18" s="3">
        <v>4.0</v>
      </c>
      <c r="G18" s="3">
        <v>1.0</v>
      </c>
      <c r="H18" s="3">
        <v>1.0</v>
      </c>
      <c r="I18" s="3">
        <v>0.0</v>
      </c>
      <c r="J18" s="3">
        <v>12.0</v>
      </c>
      <c r="K18" s="3">
        <v>0.0</v>
      </c>
      <c r="L18" s="3">
        <v>4.0</v>
      </c>
      <c r="M18" s="3">
        <v>4.0</v>
      </c>
      <c r="N18" s="3">
        <v>4.0</v>
      </c>
      <c r="O18" s="3">
        <v>1.0</v>
      </c>
      <c r="P18" s="3">
        <f>SUM(NOV_2025!$B18:$O18)</f>
        <v>37</v>
      </c>
    </row>
    <row r="19">
      <c r="A19" s="16">
        <v>45979.0</v>
      </c>
      <c r="B19" s="3">
        <v>2.0</v>
      </c>
      <c r="C19" s="3">
        <v>3.0</v>
      </c>
      <c r="D19" s="3">
        <v>2.0</v>
      </c>
      <c r="E19" s="3">
        <v>2.0</v>
      </c>
      <c r="F19" s="3">
        <v>3.0</v>
      </c>
      <c r="G19" s="3">
        <v>1.0</v>
      </c>
      <c r="H19" s="3">
        <v>2.0</v>
      </c>
      <c r="I19" s="3">
        <v>0.0</v>
      </c>
      <c r="J19" s="3">
        <v>2.0</v>
      </c>
      <c r="K19" s="3">
        <v>0.0</v>
      </c>
      <c r="L19" s="3">
        <v>1.0</v>
      </c>
      <c r="M19" s="3">
        <v>2.0</v>
      </c>
      <c r="N19" s="3">
        <v>2.0</v>
      </c>
      <c r="O19" s="3">
        <v>2.0</v>
      </c>
      <c r="P19" s="3">
        <f>SUM(NOV_2025!$B19:$O19)</f>
        <v>24</v>
      </c>
    </row>
    <row r="20">
      <c r="A20" s="16">
        <v>45980.0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f>SUM(NOV_2025!$B20:$O20)</f>
        <v>0</v>
      </c>
    </row>
    <row r="21" ht="15.75" customHeight="1">
      <c r="A21" s="16">
        <v>45981.0</v>
      </c>
      <c r="B21" s="3">
        <v>0.0</v>
      </c>
      <c r="C21" s="3">
        <v>0.0</v>
      </c>
      <c r="D21" s="3">
        <v>0.0</v>
      </c>
      <c r="E21" s="3">
        <v>2.0</v>
      </c>
      <c r="F21" s="3">
        <v>6.0</v>
      </c>
      <c r="G21" s="3">
        <v>2.0</v>
      </c>
      <c r="H21" s="3">
        <v>0.0</v>
      </c>
      <c r="I21" s="3">
        <v>0.0</v>
      </c>
      <c r="J21" s="3">
        <v>9.0</v>
      </c>
      <c r="K21" s="3">
        <v>0.0</v>
      </c>
      <c r="L21" s="3">
        <v>1.0</v>
      </c>
      <c r="M21" s="3">
        <v>0.0</v>
      </c>
      <c r="N21" s="3">
        <v>1.0</v>
      </c>
      <c r="O21" s="3">
        <v>0.0</v>
      </c>
      <c r="P21" s="3">
        <f>SUM(NOV_2025!$B21:$O21)</f>
        <v>21</v>
      </c>
    </row>
    <row r="22" ht="15.75" customHeight="1">
      <c r="A22" s="16">
        <v>45982.0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f>SUM(NOV_2025!$B22:$O22)</f>
        <v>0</v>
      </c>
    </row>
    <row r="23" ht="15.75" customHeight="1">
      <c r="A23" s="16">
        <v>45983.0</v>
      </c>
      <c r="B23" s="3">
        <v>8.0</v>
      </c>
      <c r="C23" s="3">
        <v>2.0</v>
      </c>
      <c r="D23" s="3">
        <v>0.0</v>
      </c>
      <c r="E23" s="3">
        <v>3.0</v>
      </c>
      <c r="F23" s="3">
        <v>5.0</v>
      </c>
      <c r="G23" s="3">
        <v>0.0</v>
      </c>
      <c r="H23" s="3">
        <v>1.0</v>
      </c>
      <c r="I23" s="3">
        <v>2.0</v>
      </c>
      <c r="J23" s="3">
        <v>5.0</v>
      </c>
      <c r="K23" s="3">
        <v>2.0</v>
      </c>
      <c r="L23" s="3">
        <v>1.0</v>
      </c>
      <c r="M23" s="3">
        <v>1.0</v>
      </c>
      <c r="N23" s="3">
        <v>7.0</v>
      </c>
      <c r="O23" s="3">
        <v>0.0</v>
      </c>
      <c r="P23" s="3">
        <f>SUM(NOV_2025!$B23:$O23)</f>
        <v>37</v>
      </c>
    </row>
    <row r="24" ht="15.75" customHeight="1">
      <c r="A24" s="16">
        <v>45984.0</v>
      </c>
      <c r="B24" s="3">
        <v>0.0</v>
      </c>
      <c r="C24" s="3">
        <v>2.0</v>
      </c>
      <c r="D24" s="3">
        <v>0.0</v>
      </c>
      <c r="E24" s="3">
        <v>0.0</v>
      </c>
      <c r="F24" s="3">
        <v>3.0</v>
      </c>
      <c r="G24" s="3">
        <v>0.0</v>
      </c>
      <c r="H24" s="3">
        <v>0.0</v>
      </c>
      <c r="I24" s="3">
        <v>0.0</v>
      </c>
      <c r="J24" s="3">
        <v>4.0</v>
      </c>
      <c r="K24" s="3">
        <v>0.0</v>
      </c>
      <c r="L24" s="3">
        <v>3.0</v>
      </c>
      <c r="M24" s="3">
        <v>0.0</v>
      </c>
      <c r="N24" s="3">
        <v>2.0</v>
      </c>
      <c r="O24" s="3">
        <v>0.0</v>
      </c>
      <c r="P24" s="3">
        <f>SUM(NOV_2025!$B24:$O24)</f>
        <v>14</v>
      </c>
    </row>
    <row r="25" ht="15.75" customHeight="1">
      <c r="A25" s="16">
        <v>45985.0</v>
      </c>
      <c r="B25" s="3">
        <v>0.0</v>
      </c>
      <c r="C25" s="3">
        <v>4.0</v>
      </c>
      <c r="D25" s="3">
        <v>4.0</v>
      </c>
      <c r="E25" s="3">
        <v>2.0</v>
      </c>
      <c r="F25" s="3">
        <v>3.0</v>
      </c>
      <c r="G25" s="3">
        <v>0.0</v>
      </c>
      <c r="H25" s="3">
        <v>1.0</v>
      </c>
      <c r="I25" s="3">
        <v>0.0</v>
      </c>
      <c r="J25" s="3">
        <v>0.0</v>
      </c>
      <c r="K25" s="3">
        <v>2.0</v>
      </c>
      <c r="L25" s="3">
        <v>1.0</v>
      </c>
      <c r="M25" s="3">
        <v>0.0</v>
      </c>
      <c r="N25" s="3">
        <v>7.0</v>
      </c>
      <c r="O25" s="3">
        <v>0.0</v>
      </c>
      <c r="P25" s="3">
        <f>SUM(NOV_2025!$B25:$O25)</f>
        <v>24</v>
      </c>
    </row>
    <row r="26" ht="15.75" customHeight="1">
      <c r="A26" s="16">
        <v>45986.0</v>
      </c>
      <c r="B26" s="3">
        <v>0.0</v>
      </c>
      <c r="C26" s="3">
        <v>1.0</v>
      </c>
      <c r="D26" s="3">
        <v>3.0</v>
      </c>
      <c r="E26" s="3">
        <v>1.0</v>
      </c>
      <c r="F26" s="3">
        <v>7.0</v>
      </c>
      <c r="G26" s="3">
        <v>0.0</v>
      </c>
      <c r="H26" s="3">
        <v>0.0</v>
      </c>
      <c r="I26" s="3">
        <v>0.0</v>
      </c>
      <c r="J26" s="3">
        <v>2.0</v>
      </c>
      <c r="K26" s="3">
        <v>0.0</v>
      </c>
      <c r="L26" s="3">
        <v>1.0</v>
      </c>
      <c r="M26" s="3">
        <v>2.0</v>
      </c>
      <c r="N26" s="3">
        <v>3.0</v>
      </c>
      <c r="O26" s="3">
        <v>0.0</v>
      </c>
      <c r="P26" s="3">
        <f>SUM(NOV_2025!$B26:$O26)</f>
        <v>20</v>
      </c>
    </row>
    <row r="27" ht="15.75" customHeight="1">
      <c r="A27" s="16">
        <v>45987.0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750.0</v>
      </c>
      <c r="N27" s="3">
        <v>0.0</v>
      </c>
      <c r="O27" s="3">
        <v>0.0</v>
      </c>
      <c r="P27" s="3">
        <f>SUM(NOV_2025!$B27:$O27)</f>
        <v>750</v>
      </c>
    </row>
    <row r="28" ht="15.75" customHeight="1">
      <c r="A28" s="16">
        <v>45988.0</v>
      </c>
      <c r="B28" s="3">
        <v>1.0</v>
      </c>
      <c r="C28" s="3">
        <v>0.0</v>
      </c>
      <c r="D28" s="3">
        <v>0.0</v>
      </c>
      <c r="E28" s="3">
        <v>0.0</v>
      </c>
      <c r="F28" s="3">
        <v>3.0</v>
      </c>
      <c r="G28" s="3">
        <v>0.0</v>
      </c>
      <c r="H28" s="3">
        <v>2.0</v>
      </c>
      <c r="I28" s="3">
        <v>0.0</v>
      </c>
      <c r="J28" s="3">
        <v>2.0</v>
      </c>
      <c r="K28" s="3">
        <v>2.0</v>
      </c>
      <c r="L28" s="3">
        <v>1.0</v>
      </c>
      <c r="M28" s="3">
        <v>3.0</v>
      </c>
      <c r="N28" s="3">
        <v>1.0</v>
      </c>
      <c r="O28" s="3">
        <v>2.0</v>
      </c>
      <c r="P28" s="3">
        <f>SUM(NOV_2025!$B28:$O28)</f>
        <v>17</v>
      </c>
    </row>
    <row r="29" ht="15.75" customHeight="1">
      <c r="A29" s="16">
        <v>45989.0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f>SUM(NOV_2025!$B29:$O29)</f>
        <v>0</v>
      </c>
    </row>
    <row r="30" ht="15.75" customHeight="1">
      <c r="A30" s="16">
        <v>45990.0</v>
      </c>
      <c r="B30" s="3">
        <v>0.0</v>
      </c>
      <c r="C30" s="3">
        <v>1.0</v>
      </c>
      <c r="D30" s="3">
        <v>0.0</v>
      </c>
      <c r="E30" s="3">
        <v>1.0</v>
      </c>
      <c r="F30" s="3">
        <v>15.0</v>
      </c>
      <c r="G30" s="3">
        <v>0.0</v>
      </c>
      <c r="H30" s="3">
        <v>0.0</v>
      </c>
      <c r="I30" s="3">
        <v>1.0</v>
      </c>
      <c r="J30" s="3">
        <v>1.0</v>
      </c>
      <c r="K30" s="3">
        <v>0.0</v>
      </c>
      <c r="L30" s="3">
        <v>3.0</v>
      </c>
      <c r="M30" s="3">
        <v>0.0</v>
      </c>
      <c r="N30" s="3">
        <v>3.0</v>
      </c>
      <c r="O30" s="3">
        <v>3.0</v>
      </c>
      <c r="P30" s="3">
        <f>SUM(NOV_2025!$B30:$O30)</f>
        <v>28</v>
      </c>
    </row>
    <row r="31" ht="15.75" customHeight="1">
      <c r="A31" s="16">
        <v>45991.0</v>
      </c>
      <c r="B31" s="3">
        <v>2.0</v>
      </c>
      <c r="C31" s="3">
        <v>3.0</v>
      </c>
      <c r="D31" s="3">
        <v>1.0</v>
      </c>
      <c r="E31" s="3">
        <v>2.0</v>
      </c>
      <c r="F31" s="3">
        <v>3.0</v>
      </c>
      <c r="G31" s="3">
        <v>0.0</v>
      </c>
      <c r="H31" s="3">
        <v>0.0</v>
      </c>
      <c r="I31" s="3">
        <v>1.0</v>
      </c>
      <c r="J31" s="3">
        <v>1.0</v>
      </c>
      <c r="K31" s="3">
        <v>0.0</v>
      </c>
      <c r="L31" s="3">
        <v>0.0</v>
      </c>
      <c r="M31" s="3">
        <v>0.0</v>
      </c>
      <c r="N31" s="3">
        <v>2.0</v>
      </c>
      <c r="O31" s="3">
        <v>2.0</v>
      </c>
      <c r="P31" s="3">
        <f>SUM(NOV_2025!$B31:$O31)</f>
        <v>17</v>
      </c>
    </row>
    <row r="32" ht="15.75" customHeight="1">
      <c r="A32" s="3" t="s">
        <v>27</v>
      </c>
      <c r="B32" s="3">
        <f>SUBTOTAL(109,NOV_2025!$B$2:$B$31)</f>
        <v>23</v>
      </c>
      <c r="C32" s="3">
        <f>SUBTOTAL(109,NOV_2025!$C$2:$C$31)</f>
        <v>21</v>
      </c>
      <c r="D32" s="3">
        <f>SUBTOTAL(109,NOV_2025!$D$2:$D$31)</f>
        <v>59</v>
      </c>
      <c r="E32" s="3">
        <f>SUBTOTAL(109,NOV_2025!$E$2:$E$31)</f>
        <v>26</v>
      </c>
      <c r="F32" s="3">
        <f>SUBTOTAL(109,NOV_2025!$F$2:$F$31)</f>
        <v>84</v>
      </c>
      <c r="G32" s="3">
        <f>SUBTOTAL(109,NOV_2025!$G$2:$G$31)</f>
        <v>8</v>
      </c>
      <c r="H32" s="3">
        <f>SUBTOTAL(109,NOV_2025!$H$2:$H$31)</f>
        <v>31</v>
      </c>
      <c r="I32" s="3">
        <f>SUBTOTAL(109,NOV_2025!$I$2:$I$31)</f>
        <v>11</v>
      </c>
      <c r="J32" s="3">
        <f>SUBTOTAL(109,NOV_2025!$J$2:$J$31)</f>
        <v>129</v>
      </c>
      <c r="K32" s="3">
        <f>SUBTOTAL(109,NOV_2025!$K$2:$K$31)</f>
        <v>12</v>
      </c>
      <c r="L32" s="3">
        <f>SUBTOTAL(109,NOV_2025!$L$2:$L$31)</f>
        <v>28</v>
      </c>
      <c r="M32" s="3">
        <f>SUBTOTAL(109,NOV_2025!$M$2:$M$31)</f>
        <v>786</v>
      </c>
      <c r="N32" s="3">
        <f>SUBTOTAL(109,NOV_2025!$N$2:$N$31)</f>
        <v>123</v>
      </c>
      <c r="O32" s="3">
        <f>SUBTOTAL(109,NOV_2025!$O$2:$O$31)</f>
        <v>27</v>
      </c>
      <c r="P32" s="3">
        <f>SUBTOTAL(109,NOV_2025!$P$2:$P$31)</f>
        <v>1368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1.14"/>
    <col customWidth="1" min="4" max="4" width="11.29"/>
    <col customWidth="1" min="5" max="6" width="11.57"/>
    <col customWidth="1" min="7" max="7" width="11.14"/>
    <col customWidth="1" min="8" max="8" width="11.29"/>
    <col customWidth="1" min="9" max="9" width="11.43"/>
    <col customWidth="1" min="10" max="10" width="10.86"/>
    <col customWidth="1" min="11" max="11" width="11.57"/>
    <col customWidth="1" min="12" max="12" width="11.86"/>
    <col customWidth="1" min="13" max="13" width="11.57"/>
    <col customWidth="1" min="14" max="14" width="11.29"/>
    <col customWidth="1" min="15" max="15" width="11.71"/>
    <col customWidth="1" min="16" max="16" width="16.57"/>
    <col customWidth="1" min="17" max="26" width="8.71"/>
  </cols>
  <sheetData>
    <row r="1">
      <c r="A1" s="7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15" t="s">
        <v>26</v>
      </c>
    </row>
    <row r="2">
      <c r="A2" s="16">
        <v>45992.0</v>
      </c>
      <c r="B2" s="3">
        <v>0.0</v>
      </c>
      <c r="C2" s="3">
        <v>1.0</v>
      </c>
      <c r="D2" s="3">
        <v>0.0</v>
      </c>
      <c r="E2" s="3">
        <v>1.0</v>
      </c>
      <c r="F2" s="3">
        <v>0.0</v>
      </c>
      <c r="G2" s="3">
        <v>1.0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f>SUM('DEC_2025 '!$B2:$O2)</f>
        <v>3</v>
      </c>
    </row>
    <row r="3">
      <c r="A3" s="16">
        <v>45993.0</v>
      </c>
      <c r="B3" s="3">
        <v>6.0</v>
      </c>
      <c r="C3" s="3">
        <v>0.0</v>
      </c>
      <c r="D3" s="3">
        <v>4.0</v>
      </c>
      <c r="E3" s="3">
        <v>0.0</v>
      </c>
      <c r="F3" s="3">
        <v>17.0</v>
      </c>
      <c r="G3" s="3">
        <v>0.0</v>
      </c>
      <c r="H3" s="3">
        <v>2.0</v>
      </c>
      <c r="I3" s="3">
        <v>2.0</v>
      </c>
      <c r="J3" s="3">
        <v>0.0</v>
      </c>
      <c r="K3" s="3">
        <v>5.0</v>
      </c>
      <c r="L3" s="3">
        <v>1.0</v>
      </c>
      <c r="M3" s="3">
        <v>2.0</v>
      </c>
      <c r="N3" s="3">
        <v>1.0</v>
      </c>
      <c r="O3" s="3">
        <v>0.0</v>
      </c>
      <c r="P3" s="3">
        <f>SUM('DEC_2025 '!$B3:$O3)</f>
        <v>40</v>
      </c>
    </row>
    <row r="4">
      <c r="A4" s="16">
        <v>45994.0</v>
      </c>
      <c r="B4" s="3">
        <v>1.0</v>
      </c>
      <c r="C4" s="3">
        <v>0.0</v>
      </c>
      <c r="D4" s="3">
        <v>0.0</v>
      </c>
      <c r="E4" s="3">
        <v>1.0</v>
      </c>
      <c r="F4" s="3">
        <v>8.0</v>
      </c>
      <c r="G4" s="3">
        <v>0.0</v>
      </c>
      <c r="H4" s="3">
        <v>0.0</v>
      </c>
      <c r="I4" s="3">
        <v>0.0</v>
      </c>
      <c r="J4" s="3">
        <v>1.0</v>
      </c>
      <c r="K4" s="3">
        <v>0.0</v>
      </c>
      <c r="L4" s="3">
        <v>0.0</v>
      </c>
      <c r="M4" s="3">
        <v>0.0</v>
      </c>
      <c r="N4" s="3">
        <v>3.0</v>
      </c>
      <c r="O4" s="3">
        <v>1.0</v>
      </c>
      <c r="P4" s="3">
        <f>SUM('DEC_2025 '!$B4:$O4)</f>
        <v>15</v>
      </c>
    </row>
    <row r="5">
      <c r="A5" s="16">
        <v>45995.0</v>
      </c>
      <c r="B5" s="3">
        <v>17.0</v>
      </c>
      <c r="C5" s="3">
        <v>0.0</v>
      </c>
      <c r="D5" s="3">
        <v>0.0</v>
      </c>
      <c r="E5" s="3">
        <v>0.0</v>
      </c>
      <c r="F5" s="3">
        <v>12.0</v>
      </c>
      <c r="G5" s="3">
        <v>2.0</v>
      </c>
      <c r="H5" s="3">
        <v>0.0</v>
      </c>
      <c r="I5" s="3">
        <v>2.0</v>
      </c>
      <c r="J5" s="3">
        <v>3.0</v>
      </c>
      <c r="K5" s="3">
        <v>4.0</v>
      </c>
      <c r="L5" s="3">
        <v>0.0</v>
      </c>
      <c r="M5" s="3">
        <v>3.0</v>
      </c>
      <c r="N5" s="3">
        <v>5.0</v>
      </c>
      <c r="O5" s="3">
        <v>0.0</v>
      </c>
      <c r="P5" s="3">
        <f>SUM('DEC_2025 '!$B5:$O5)</f>
        <v>48</v>
      </c>
    </row>
    <row r="6">
      <c r="A6" s="16">
        <v>45996.0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f>SUM('DEC_2025 '!$B6:$O6)</f>
        <v>0</v>
      </c>
    </row>
    <row r="7">
      <c r="A7" s="16">
        <v>45997.0</v>
      </c>
      <c r="B7" s="3">
        <v>25.0</v>
      </c>
      <c r="C7" s="3">
        <v>1.0</v>
      </c>
      <c r="D7" s="3">
        <v>0.0</v>
      </c>
      <c r="E7" s="3">
        <v>0.0</v>
      </c>
      <c r="F7" s="3">
        <v>16.0</v>
      </c>
      <c r="G7" s="3">
        <v>1.0</v>
      </c>
      <c r="H7" s="3">
        <v>1.0</v>
      </c>
      <c r="I7" s="3">
        <v>0.0</v>
      </c>
      <c r="J7" s="3">
        <v>9.0</v>
      </c>
      <c r="K7" s="3">
        <v>1.0</v>
      </c>
      <c r="L7" s="3">
        <v>0.0</v>
      </c>
      <c r="M7" s="3">
        <v>1.0</v>
      </c>
      <c r="N7" s="3">
        <v>3.0</v>
      </c>
      <c r="O7" s="3">
        <v>1.0</v>
      </c>
      <c r="P7" s="3">
        <f>SUM('DEC_2025 '!$B7:$O7)</f>
        <v>59</v>
      </c>
    </row>
    <row r="8">
      <c r="A8" s="16">
        <v>45998.0</v>
      </c>
      <c r="B8" s="3">
        <v>16.0</v>
      </c>
      <c r="C8" s="3">
        <v>2.0</v>
      </c>
      <c r="D8" s="3">
        <v>0.0</v>
      </c>
      <c r="E8" s="3">
        <v>1.0</v>
      </c>
      <c r="F8" s="3">
        <v>2.0</v>
      </c>
      <c r="G8" s="3">
        <v>0.0</v>
      </c>
      <c r="H8" s="3">
        <v>0.0</v>
      </c>
      <c r="I8" s="3">
        <v>0.0</v>
      </c>
      <c r="J8" s="3">
        <v>12.0</v>
      </c>
      <c r="K8" s="3">
        <v>0.0</v>
      </c>
      <c r="L8" s="3">
        <v>0.0</v>
      </c>
      <c r="M8" s="3">
        <v>1.0</v>
      </c>
      <c r="N8" s="3">
        <v>3.0</v>
      </c>
      <c r="O8" s="3">
        <v>1.0</v>
      </c>
      <c r="P8" s="3">
        <f>SUM('DEC_2025 '!$B8:$O8)</f>
        <v>38</v>
      </c>
    </row>
    <row r="9">
      <c r="A9" s="16">
        <v>45999.0</v>
      </c>
      <c r="B9" s="3">
        <v>26.0</v>
      </c>
      <c r="C9" s="3">
        <v>1.0</v>
      </c>
      <c r="D9" s="3">
        <v>0.0</v>
      </c>
      <c r="E9" s="3">
        <v>0.0</v>
      </c>
      <c r="F9" s="3">
        <v>8.0</v>
      </c>
      <c r="G9" s="3">
        <v>0.0</v>
      </c>
      <c r="H9" s="3">
        <v>0.0</v>
      </c>
      <c r="I9" s="3">
        <v>1.0</v>
      </c>
      <c r="J9" s="3">
        <v>6.0</v>
      </c>
      <c r="K9" s="3">
        <v>2.0</v>
      </c>
      <c r="L9" s="3">
        <v>0.0</v>
      </c>
      <c r="M9" s="3">
        <v>0.0</v>
      </c>
      <c r="N9" s="3">
        <v>1.0</v>
      </c>
      <c r="O9" s="3">
        <v>1.0</v>
      </c>
      <c r="P9" s="3">
        <f>SUM('DEC_2025 '!$B9:$O9)</f>
        <v>46</v>
      </c>
    </row>
    <row r="10">
      <c r="A10" s="16">
        <v>46000.0</v>
      </c>
      <c r="B10" s="3">
        <v>25.0</v>
      </c>
      <c r="C10" s="3">
        <v>1.0</v>
      </c>
      <c r="D10" s="3">
        <v>0.0</v>
      </c>
      <c r="E10" s="3">
        <v>0.0</v>
      </c>
      <c r="F10" s="3">
        <v>3.0</v>
      </c>
      <c r="G10" s="3">
        <v>0.0</v>
      </c>
      <c r="H10" s="3">
        <v>1.0</v>
      </c>
      <c r="I10" s="3">
        <v>1.0</v>
      </c>
      <c r="J10" s="3">
        <v>5.0</v>
      </c>
      <c r="K10" s="3">
        <v>0.0</v>
      </c>
      <c r="L10" s="3">
        <v>1.0</v>
      </c>
      <c r="M10" s="3">
        <v>0.0</v>
      </c>
      <c r="N10" s="3">
        <v>0.0</v>
      </c>
      <c r="O10" s="3">
        <v>0.0</v>
      </c>
      <c r="P10" s="3">
        <f>SUM('DEC_2025 '!$B10:$O10)</f>
        <v>37</v>
      </c>
    </row>
    <row r="11">
      <c r="A11" s="16">
        <v>46001.0</v>
      </c>
      <c r="B11" s="3">
        <v>27.0</v>
      </c>
      <c r="C11" s="3">
        <v>0.0</v>
      </c>
      <c r="D11" s="3">
        <v>1.0</v>
      </c>
      <c r="E11" s="3">
        <v>1.0</v>
      </c>
      <c r="F11" s="3">
        <v>5.0</v>
      </c>
      <c r="G11" s="3">
        <v>0.0</v>
      </c>
      <c r="H11" s="3">
        <v>2.0</v>
      </c>
      <c r="I11" s="3">
        <v>0.0</v>
      </c>
      <c r="J11" s="3">
        <v>4.0</v>
      </c>
      <c r="K11" s="3">
        <v>0.0</v>
      </c>
      <c r="L11" s="3">
        <v>0.0</v>
      </c>
      <c r="M11" s="3">
        <v>1.0</v>
      </c>
      <c r="N11" s="3">
        <v>1.0</v>
      </c>
      <c r="O11" s="3">
        <v>0.0</v>
      </c>
      <c r="P11" s="3">
        <f>SUM('DEC_2025 '!$B11:$O11)</f>
        <v>42</v>
      </c>
    </row>
    <row r="12">
      <c r="A12" s="16">
        <v>46002.0</v>
      </c>
      <c r="B12" s="3">
        <v>29.0</v>
      </c>
      <c r="C12" s="3">
        <v>0.0</v>
      </c>
      <c r="D12" s="3">
        <v>1.0</v>
      </c>
      <c r="E12" s="3">
        <v>1.0</v>
      </c>
      <c r="F12" s="3">
        <v>2.0</v>
      </c>
      <c r="G12" s="3">
        <v>0.0</v>
      </c>
      <c r="H12" s="3">
        <v>0.0</v>
      </c>
      <c r="I12" s="3">
        <v>0.0</v>
      </c>
      <c r="J12" s="3">
        <v>1.0</v>
      </c>
      <c r="K12" s="3">
        <v>2.0</v>
      </c>
      <c r="L12" s="3">
        <v>1.0</v>
      </c>
      <c r="M12" s="3">
        <v>0.0</v>
      </c>
      <c r="N12" s="3">
        <v>0.0</v>
      </c>
      <c r="O12" s="3">
        <v>2.0</v>
      </c>
      <c r="P12" s="3">
        <f>SUM('DEC_2025 '!$B12:$O12)</f>
        <v>39</v>
      </c>
    </row>
    <row r="13">
      <c r="A13" s="16">
        <v>46003.0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f>SUM('DEC_2025 '!$B13:$O13)</f>
        <v>0</v>
      </c>
    </row>
    <row r="14">
      <c r="A14" s="16">
        <v>46004.0</v>
      </c>
      <c r="B14" s="3">
        <v>61.0</v>
      </c>
      <c r="C14" s="3">
        <v>0.0</v>
      </c>
      <c r="D14" s="3">
        <v>0.0</v>
      </c>
      <c r="E14" s="3">
        <v>1.0</v>
      </c>
      <c r="F14" s="3">
        <v>9.0</v>
      </c>
      <c r="G14" s="3">
        <v>0.0</v>
      </c>
      <c r="H14" s="3">
        <v>0.0</v>
      </c>
      <c r="I14" s="3">
        <v>0.0</v>
      </c>
      <c r="J14" s="3">
        <v>3.0</v>
      </c>
      <c r="K14" s="3">
        <v>3.0</v>
      </c>
      <c r="L14" s="3">
        <v>1.0</v>
      </c>
      <c r="M14" s="3">
        <v>0.0</v>
      </c>
      <c r="N14" s="3">
        <v>0.0</v>
      </c>
      <c r="O14" s="3">
        <v>0.0</v>
      </c>
      <c r="P14" s="3">
        <f>SUM('DEC_2025 '!$B14:$O14)</f>
        <v>78</v>
      </c>
    </row>
    <row r="15">
      <c r="A15" s="16">
        <v>46005.0</v>
      </c>
      <c r="B15" s="3">
        <v>52.0</v>
      </c>
      <c r="C15" s="3">
        <v>1.0</v>
      </c>
      <c r="D15" s="3">
        <v>0.0</v>
      </c>
      <c r="E15" s="3">
        <v>0.0</v>
      </c>
      <c r="F15" s="3">
        <v>3.0</v>
      </c>
      <c r="G15" s="3">
        <v>0.0</v>
      </c>
      <c r="H15" s="3">
        <v>0.0</v>
      </c>
      <c r="I15" s="3">
        <v>0.0</v>
      </c>
      <c r="J15" s="3">
        <v>1.0</v>
      </c>
      <c r="K15" s="3">
        <v>0.0</v>
      </c>
      <c r="L15" s="3">
        <v>0.0</v>
      </c>
      <c r="M15" s="3">
        <v>0.0</v>
      </c>
      <c r="N15" s="3">
        <v>2.0</v>
      </c>
      <c r="O15" s="3">
        <v>3.0</v>
      </c>
      <c r="P15" s="3">
        <f>SUM('DEC_2025 '!$B15:$O15)</f>
        <v>62</v>
      </c>
    </row>
    <row r="16">
      <c r="A16" s="16">
        <v>46006.0</v>
      </c>
      <c r="B16" s="3">
        <v>65.0</v>
      </c>
      <c r="C16" s="3">
        <v>0.0</v>
      </c>
      <c r="D16" s="3">
        <v>0.0</v>
      </c>
      <c r="E16" s="3">
        <v>0.0</v>
      </c>
      <c r="F16" s="3">
        <v>3.0</v>
      </c>
      <c r="G16" s="3">
        <v>0.0</v>
      </c>
      <c r="H16" s="3">
        <v>0.0</v>
      </c>
      <c r="I16" s="3">
        <v>1.0</v>
      </c>
      <c r="J16" s="3">
        <v>0.0</v>
      </c>
      <c r="K16" s="3">
        <v>1.0</v>
      </c>
      <c r="L16" s="3">
        <v>0.0</v>
      </c>
      <c r="M16" s="3">
        <v>0.0</v>
      </c>
      <c r="N16" s="3">
        <v>1.0</v>
      </c>
      <c r="O16" s="3">
        <v>0.0</v>
      </c>
      <c r="P16" s="3">
        <f>SUM('DEC_2025 '!$B16:$O16)</f>
        <v>71</v>
      </c>
    </row>
    <row r="17">
      <c r="A17" s="16">
        <v>46007.0</v>
      </c>
      <c r="B17" s="3">
        <v>89.0</v>
      </c>
      <c r="C17" s="3">
        <v>1.0</v>
      </c>
      <c r="D17" s="3">
        <v>1.0</v>
      </c>
      <c r="E17" s="3">
        <v>0.0</v>
      </c>
      <c r="F17" s="3">
        <v>4.0</v>
      </c>
      <c r="G17" s="3">
        <v>0.0</v>
      </c>
      <c r="H17" s="3">
        <v>0.0</v>
      </c>
      <c r="I17" s="3">
        <v>0.0</v>
      </c>
      <c r="J17" s="3">
        <v>2.0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f>SUM('DEC_2025 '!$B17:$O17)</f>
        <v>97</v>
      </c>
    </row>
    <row r="18">
      <c r="A18" s="16">
        <v>46008.0</v>
      </c>
      <c r="B18" s="3">
        <v>71.0</v>
      </c>
      <c r="C18" s="3">
        <v>1.0</v>
      </c>
      <c r="D18" s="3">
        <v>0.0</v>
      </c>
      <c r="E18" s="3">
        <v>0.0</v>
      </c>
      <c r="F18" s="3">
        <v>0.0</v>
      </c>
      <c r="G18" s="3">
        <v>0.0</v>
      </c>
      <c r="H18" s="3">
        <v>1.0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f>SUM('DEC_2025 '!$B18:$O18)</f>
        <v>73</v>
      </c>
    </row>
    <row r="19">
      <c r="A19" s="16">
        <v>46009.0</v>
      </c>
      <c r="B19" s="3">
        <v>29.0</v>
      </c>
      <c r="C19" s="3">
        <v>2.0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4.0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f>SUM('DEC_2025 '!$B19:$O19)</f>
        <v>35</v>
      </c>
    </row>
    <row r="20">
      <c r="A20" s="16">
        <v>46010.0</v>
      </c>
      <c r="B20" s="3">
        <v>57.0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f>SUM('DEC_2025 '!$B20:$O20)</f>
        <v>57</v>
      </c>
    </row>
    <row r="21" ht="15.75" customHeight="1">
      <c r="A21" s="16">
        <v>46011.0</v>
      </c>
      <c r="B21" s="3">
        <v>44.0</v>
      </c>
      <c r="C21" s="3">
        <v>0.0</v>
      </c>
      <c r="D21" s="3">
        <v>0.0</v>
      </c>
      <c r="E21" s="3">
        <v>1.0</v>
      </c>
      <c r="F21" s="3">
        <v>2.0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0.0</v>
      </c>
      <c r="O21" s="3">
        <v>1.0</v>
      </c>
      <c r="P21" s="3">
        <f>SUM('DEC_2025 '!$B21:$O21)</f>
        <v>49</v>
      </c>
    </row>
    <row r="22" ht="15.75" customHeight="1">
      <c r="A22" s="16">
        <v>46012.0</v>
      </c>
      <c r="B22" s="3">
        <v>44.0</v>
      </c>
      <c r="C22" s="3">
        <v>1.0</v>
      </c>
      <c r="D22" s="3">
        <v>0.0</v>
      </c>
      <c r="E22" s="3">
        <v>1.0</v>
      </c>
      <c r="F22" s="3">
        <v>3.0</v>
      </c>
      <c r="G22" s="3">
        <v>0.0</v>
      </c>
      <c r="H22" s="3">
        <v>0.0</v>
      </c>
      <c r="I22" s="3">
        <v>0.0</v>
      </c>
      <c r="J22" s="3">
        <v>1.0</v>
      </c>
      <c r="K22" s="3">
        <v>1.0</v>
      </c>
      <c r="L22" s="3">
        <v>0.0</v>
      </c>
      <c r="M22" s="3">
        <v>1.0</v>
      </c>
      <c r="N22" s="3">
        <v>1.0</v>
      </c>
      <c r="O22" s="3">
        <v>0.0</v>
      </c>
      <c r="P22" s="3">
        <f>SUM('DEC_2025 '!$B22:$O22)</f>
        <v>53</v>
      </c>
    </row>
    <row r="23" ht="15.75" customHeight="1">
      <c r="A23" s="16">
        <v>46013.0</v>
      </c>
      <c r="B23" s="3">
        <v>38.0</v>
      </c>
      <c r="C23" s="3">
        <v>0.0</v>
      </c>
      <c r="D23" s="3">
        <v>0.0</v>
      </c>
      <c r="E23" s="3">
        <v>0.0</v>
      </c>
      <c r="F23" s="3">
        <v>1.0</v>
      </c>
      <c r="G23" s="3">
        <v>0.0</v>
      </c>
      <c r="H23" s="3">
        <v>0.0</v>
      </c>
      <c r="I23" s="3">
        <v>0.0</v>
      </c>
      <c r="J23" s="3">
        <v>0.0</v>
      </c>
      <c r="K23" s="3">
        <v>1.0</v>
      </c>
      <c r="L23" s="3">
        <v>0.0</v>
      </c>
      <c r="M23" s="3">
        <v>0.0</v>
      </c>
      <c r="N23" s="3">
        <v>1.0</v>
      </c>
      <c r="O23" s="3">
        <v>1.0</v>
      </c>
      <c r="P23" s="3">
        <f>SUM('DEC_2025 '!$B23:$O23)</f>
        <v>42</v>
      </c>
    </row>
    <row r="24" ht="15.75" customHeight="1">
      <c r="A24" s="16">
        <v>46014.0</v>
      </c>
      <c r="B24" s="3">
        <v>33.0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f>SUM('DEC_2025 '!$B24:$O24)</f>
        <v>33</v>
      </c>
    </row>
    <row r="25" ht="15.75" customHeight="1">
      <c r="A25" s="16">
        <v>46015.0</v>
      </c>
      <c r="B25" s="3">
        <v>92.0</v>
      </c>
      <c r="C25" s="3">
        <v>8.0</v>
      </c>
      <c r="D25" s="3">
        <v>2.0</v>
      </c>
      <c r="E25" s="3">
        <v>1.0</v>
      </c>
      <c r="F25" s="3">
        <v>2.0</v>
      </c>
      <c r="G25" s="3">
        <v>1.0</v>
      </c>
      <c r="H25" s="3">
        <v>0.0</v>
      </c>
      <c r="I25" s="3">
        <v>1.0</v>
      </c>
      <c r="J25" s="3">
        <v>1.0</v>
      </c>
      <c r="K25" s="3">
        <v>0.0</v>
      </c>
      <c r="L25" s="3">
        <v>0.0</v>
      </c>
      <c r="M25" s="3">
        <v>1.0</v>
      </c>
      <c r="N25" s="3">
        <v>1.0</v>
      </c>
      <c r="O25" s="3">
        <v>0.0</v>
      </c>
      <c r="P25" s="3">
        <f>SUM('DEC_2025 '!$B25:$O25)</f>
        <v>110</v>
      </c>
    </row>
    <row r="26" ht="15.75" customHeight="1">
      <c r="A26" s="16">
        <v>46016.0</v>
      </c>
      <c r="B26" s="3">
        <v>20.0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f>SUM('DEC_2025 '!$B26:$O26)</f>
        <v>20</v>
      </c>
    </row>
    <row r="27" ht="15.75" customHeight="1">
      <c r="A27" s="16">
        <v>46017.0</v>
      </c>
      <c r="B27" s="3">
        <v>61.0</v>
      </c>
      <c r="C27" s="3">
        <v>7.0</v>
      </c>
      <c r="D27" s="3">
        <v>1.0</v>
      </c>
      <c r="E27" s="3">
        <v>2.0</v>
      </c>
      <c r="F27" s="3">
        <v>2.0</v>
      </c>
      <c r="G27" s="3">
        <v>1.0</v>
      </c>
      <c r="H27" s="3">
        <v>0.0</v>
      </c>
      <c r="I27" s="3">
        <v>2.0</v>
      </c>
      <c r="J27" s="3">
        <v>1.0</v>
      </c>
      <c r="K27" s="3">
        <v>1.0</v>
      </c>
      <c r="L27" s="3">
        <v>2.0</v>
      </c>
      <c r="M27" s="3">
        <v>0.0</v>
      </c>
      <c r="N27" s="3">
        <v>0.0</v>
      </c>
      <c r="O27" s="3">
        <v>1.0</v>
      </c>
      <c r="P27" s="3">
        <f>SUM('DEC_2025 '!$B27:$O27)</f>
        <v>81</v>
      </c>
    </row>
    <row r="28" ht="15.75" customHeight="1">
      <c r="A28" s="16">
        <v>46018.0</v>
      </c>
      <c r="B28" s="3">
        <v>62.0</v>
      </c>
      <c r="C28" s="3">
        <v>26.0</v>
      </c>
      <c r="D28" s="3">
        <v>6.0</v>
      </c>
      <c r="E28" s="3">
        <v>5.0</v>
      </c>
      <c r="F28" s="3">
        <v>14.0</v>
      </c>
      <c r="G28" s="3">
        <v>0.0</v>
      </c>
      <c r="H28" s="3">
        <v>2.0</v>
      </c>
      <c r="I28" s="3">
        <v>0.0</v>
      </c>
      <c r="J28" s="3">
        <v>3.0</v>
      </c>
      <c r="K28" s="3">
        <v>0.0</v>
      </c>
      <c r="L28" s="3">
        <v>0.0</v>
      </c>
      <c r="M28" s="3">
        <v>1.0</v>
      </c>
      <c r="N28" s="3">
        <v>2.0</v>
      </c>
      <c r="O28" s="3">
        <v>3.0</v>
      </c>
      <c r="P28" s="3">
        <f>SUM('DEC_2025 '!$B28:$O28)</f>
        <v>124</v>
      </c>
    </row>
    <row r="29" ht="15.75" customHeight="1">
      <c r="A29" s="16">
        <v>46019.0</v>
      </c>
      <c r="B29" s="3">
        <v>39.0</v>
      </c>
      <c r="C29" s="3">
        <v>38.0</v>
      </c>
      <c r="D29" s="3">
        <v>12.0</v>
      </c>
      <c r="E29" s="3">
        <v>10.0</v>
      </c>
      <c r="F29" s="3">
        <v>17.0</v>
      </c>
      <c r="G29" s="3">
        <v>1.0</v>
      </c>
      <c r="H29" s="3">
        <v>0.0</v>
      </c>
      <c r="I29" s="3">
        <v>0.0</v>
      </c>
      <c r="J29" s="3">
        <v>4.0</v>
      </c>
      <c r="K29" s="3">
        <v>3.0</v>
      </c>
      <c r="L29" s="3">
        <v>0.0</v>
      </c>
      <c r="M29" s="3">
        <v>0.0</v>
      </c>
      <c r="N29" s="3">
        <v>1.0</v>
      </c>
      <c r="O29" s="3">
        <v>1.0</v>
      </c>
      <c r="P29" s="3">
        <f>SUM('DEC_2025 '!$B29:$O29)</f>
        <v>126</v>
      </c>
    </row>
    <row r="30" ht="15.75" customHeight="1">
      <c r="A30" s="16">
        <v>46020.0</v>
      </c>
      <c r="B30" s="3">
        <v>35.0</v>
      </c>
      <c r="C30" s="3">
        <v>55.0</v>
      </c>
      <c r="D30" s="3">
        <v>22.0</v>
      </c>
      <c r="E30" s="3">
        <v>5.0</v>
      </c>
      <c r="F30" s="3">
        <v>17.0</v>
      </c>
      <c r="G30" s="3">
        <v>2.0</v>
      </c>
      <c r="H30" s="3">
        <v>0.0</v>
      </c>
      <c r="I30" s="3">
        <v>0.0</v>
      </c>
      <c r="J30" s="3">
        <v>1.0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f>SUM('DEC_2025 '!$B30:$O30)</f>
        <v>137</v>
      </c>
    </row>
    <row r="31" ht="15.75" customHeight="1">
      <c r="A31" s="16">
        <v>46021.0</v>
      </c>
      <c r="B31" s="3">
        <v>54.0</v>
      </c>
      <c r="C31" s="3">
        <v>59.0</v>
      </c>
      <c r="D31" s="3">
        <v>24.0</v>
      </c>
      <c r="E31" s="3">
        <v>7.0</v>
      </c>
      <c r="F31" s="3">
        <v>27.0</v>
      </c>
      <c r="G31" s="3">
        <v>1.0</v>
      </c>
      <c r="H31" s="3">
        <v>2.0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3.0</v>
      </c>
      <c r="O31" s="3">
        <v>0.0</v>
      </c>
      <c r="P31" s="3">
        <f>SUM('DEC_2025 '!$B31:$O31)</f>
        <v>177</v>
      </c>
    </row>
    <row r="32" ht="15.75" customHeight="1">
      <c r="A32" s="16">
        <v>46022.0</v>
      </c>
      <c r="B32" s="3">
        <v>40.0</v>
      </c>
      <c r="C32" s="3">
        <v>55.0</v>
      </c>
      <c r="D32" s="3">
        <v>41.0</v>
      </c>
      <c r="E32" s="3">
        <v>17.0</v>
      </c>
      <c r="F32" s="3">
        <v>21.0</v>
      </c>
      <c r="G32" s="3">
        <v>3.0</v>
      </c>
      <c r="H32" s="3">
        <v>16.0</v>
      </c>
      <c r="I32" s="3">
        <v>1.0</v>
      </c>
      <c r="J32" s="3">
        <v>2.0</v>
      </c>
      <c r="K32" s="3">
        <v>1.0</v>
      </c>
      <c r="L32" s="3">
        <v>1.0</v>
      </c>
      <c r="M32" s="3">
        <v>3.0</v>
      </c>
      <c r="N32" s="3">
        <v>7.0</v>
      </c>
      <c r="O32" s="3">
        <v>4.0</v>
      </c>
      <c r="P32" s="3">
        <f>SUM('DEC_2025 '!$B32:$O32)</f>
        <v>212</v>
      </c>
    </row>
    <row r="33" ht="15.75" customHeight="1">
      <c r="A33" s="3" t="s">
        <v>27</v>
      </c>
      <c r="B33" s="3">
        <f>SUBTOTAL(109,'DEC_2025 '!$B$2:$B$32)</f>
        <v>1158</v>
      </c>
      <c r="C33" s="3">
        <f>SUBTOTAL(109,'DEC_2025 '!$C$2:$C$32)</f>
        <v>260</v>
      </c>
      <c r="D33" s="3">
        <f>SUBTOTAL(109,'DEC_2025 '!$D$2:$D$32)</f>
        <v>115</v>
      </c>
      <c r="E33" s="3">
        <f>SUBTOTAL(109,'DEC_2025 '!$E$2:$E$32)</f>
        <v>55</v>
      </c>
      <c r="F33" s="3">
        <f>SUBTOTAL(109,'DEC_2025 '!$F$2:$F$32)</f>
        <v>198</v>
      </c>
      <c r="G33" s="3">
        <f>SUBTOTAL(109,'DEC_2025 '!$G$2:$G$32)</f>
        <v>13</v>
      </c>
      <c r="H33" s="3">
        <f>SUBTOTAL(109,'DEC_2025 '!$H$2:$H$32)</f>
        <v>27</v>
      </c>
      <c r="I33" s="3">
        <f>SUBTOTAL(109,'DEC_2025 '!$I$2:$I$32)</f>
        <v>11</v>
      </c>
      <c r="J33" s="3">
        <f>SUBTOTAL(109,'DEC_2025 '!$J$2:$J$32)</f>
        <v>64</v>
      </c>
      <c r="K33" s="3">
        <f>SUBTOTAL(109,'DEC_2025 '!$K$2:$K$32)</f>
        <v>25</v>
      </c>
      <c r="L33" s="3">
        <f>SUBTOTAL(109,'DEC_2025 '!$L$2:$L$32)</f>
        <v>8</v>
      </c>
      <c r="M33" s="3">
        <f>SUBTOTAL(109,'DEC_2025 '!$M$2:$M$32)</f>
        <v>14</v>
      </c>
      <c r="N33" s="3">
        <f>SUBTOTAL(109,'DEC_2025 '!$N$2:$N$32)</f>
        <v>36</v>
      </c>
      <c r="O33" s="3">
        <f>SUBTOTAL(109,'DEC_2025 '!$O$2:$O$32)</f>
        <v>20</v>
      </c>
      <c r="P33" s="3">
        <f>SUBTOTAL(109,'DEC_2025 '!$P$2:$P$32)</f>
        <v>2004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0.86"/>
    <col customWidth="1" min="3" max="3" width="10.14"/>
    <col customWidth="1" min="4" max="4" width="10.43"/>
    <col customWidth="1" min="5" max="5" width="10.14"/>
    <col customWidth="1" min="6" max="6" width="10.29"/>
    <col customWidth="1" min="7" max="7" width="9.29"/>
    <col customWidth="1" min="8" max="8" width="9.43"/>
    <col customWidth="1" min="9" max="9" width="9.71"/>
    <col customWidth="1" min="10" max="10" width="10.14"/>
    <col customWidth="1" min="11" max="11" width="10.29"/>
    <col customWidth="1" min="12" max="12" width="10.71"/>
    <col customWidth="1" min="13" max="13" width="10.86"/>
    <col customWidth="1" min="14" max="14" width="10.43"/>
    <col customWidth="1" min="15" max="15" width="10.29"/>
    <col customWidth="1" min="16" max="16" width="16.57"/>
    <col customWidth="1" min="17" max="26" width="8.71"/>
  </cols>
  <sheetData>
    <row r="1">
      <c r="A1" s="7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15" t="s">
        <v>26</v>
      </c>
    </row>
    <row r="2">
      <c r="A2" s="16">
        <v>45658.0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>
        <f>SUM(JAN_2026!$B2:$O2)</f>
        <v>0</v>
      </c>
    </row>
    <row r="3">
      <c r="A3" s="16">
        <v>45659.0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SUM(JAN_2026!$B3:$O3)</f>
        <v>0</v>
      </c>
    </row>
    <row r="4">
      <c r="A4" s="16">
        <v>45660.0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>SUM(JAN_2026!$B4:$O4)</f>
        <v>0</v>
      </c>
    </row>
    <row r="5">
      <c r="A5" s="16">
        <v>45661.0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>SUM(JAN_2026!$B5:$O5)</f>
        <v>0</v>
      </c>
    </row>
    <row r="6">
      <c r="A6" s="16">
        <v>45662.0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>SUM(JAN_2026!$B6:$O6)</f>
        <v>0</v>
      </c>
    </row>
    <row r="7">
      <c r="A7" s="16">
        <v>45663.0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>SUM(JAN_2026!$B7:$O7)</f>
        <v>0</v>
      </c>
    </row>
    <row r="8">
      <c r="A8" s="16">
        <v>45664.0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>SUM(JAN_2026!$B8:$O8)</f>
        <v>0</v>
      </c>
    </row>
    <row r="9">
      <c r="A9" s="16">
        <v>45665.0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>SUM(JAN_2026!$B9:$O9)</f>
        <v>0</v>
      </c>
    </row>
    <row r="10">
      <c r="A10" s="16">
        <v>45666.0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SUM(JAN_2026!$B10:$O10)</f>
        <v>0</v>
      </c>
    </row>
    <row r="11">
      <c r="A11" s="16">
        <v>45667.0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>SUM(JAN_2026!$B11:$O11)</f>
        <v>0</v>
      </c>
    </row>
    <row r="12">
      <c r="A12" s="16">
        <v>45668.0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>SUM(JAN_2026!$B12:$O12)</f>
        <v>0</v>
      </c>
    </row>
    <row r="13">
      <c r="A13" s="16">
        <v>45669.0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>SUM(JAN_2026!$B13:$O13)</f>
        <v>0</v>
      </c>
    </row>
    <row r="14">
      <c r="A14" s="16">
        <v>45670.0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>SUM(JAN_2026!$B14:$O14)</f>
        <v>0</v>
      </c>
    </row>
    <row r="15">
      <c r="A15" s="16">
        <v>45671.0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>SUM(JAN_2026!$B15:$O15)</f>
        <v>0</v>
      </c>
    </row>
    <row r="16">
      <c r="A16" s="16">
        <v>45672.0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>SUM(JAN_2026!$B16:$O16)</f>
        <v>0</v>
      </c>
    </row>
    <row r="17">
      <c r="A17" s="16">
        <v>45673.0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>SUM(JAN_2026!$B17:$O17)</f>
        <v>0</v>
      </c>
    </row>
    <row r="18">
      <c r="A18" s="16">
        <v>45674.0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>SUM(JAN_2026!$B18:$O18)</f>
        <v>0</v>
      </c>
    </row>
    <row r="19">
      <c r="A19" s="16">
        <v>45675.0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>SUM(JAN_2026!$B19:$O19)</f>
        <v>0</v>
      </c>
    </row>
    <row r="20">
      <c r="A20" s="16">
        <v>45676.0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>SUM(JAN_2026!$B20:$O20)</f>
        <v>0</v>
      </c>
    </row>
    <row r="21" ht="15.75" customHeight="1">
      <c r="A21" s="16">
        <v>45677.0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>SUM(JAN_2026!$B21:$O21)</f>
        <v>0</v>
      </c>
    </row>
    <row r="22" ht="15.75" customHeight="1">
      <c r="A22" s="16">
        <v>45678.0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>SUM(JAN_2026!$B22:$O22)</f>
        <v>0</v>
      </c>
    </row>
    <row r="23" ht="15.75" customHeight="1">
      <c r="A23" s="16">
        <v>45679.0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>SUM(JAN_2026!$B23:$O23)</f>
        <v>0</v>
      </c>
    </row>
    <row r="24" ht="15.75" customHeight="1">
      <c r="A24" s="16">
        <v>45680.0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>SUM(JAN_2026!$B24:$O24)</f>
        <v>0</v>
      </c>
    </row>
    <row r="25" ht="15.75" customHeight="1">
      <c r="A25" s="16">
        <v>45681.0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>SUM(JAN_2026!$B25:$O25)</f>
        <v>0</v>
      </c>
    </row>
    <row r="26" ht="15.75" customHeight="1">
      <c r="A26" s="16">
        <v>45682.0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>SUM(JAN_2026!$B26:$O26)</f>
        <v>0</v>
      </c>
    </row>
    <row r="27" ht="15.75" customHeight="1">
      <c r="A27" s="16">
        <v>45683.0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>SUM(JAN_2026!$B27:$O27)</f>
        <v>0</v>
      </c>
    </row>
    <row r="28" ht="15.75" customHeight="1">
      <c r="A28" s="16">
        <v>45684.0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>SUM(JAN_2026!$B28:$O28)</f>
        <v>0</v>
      </c>
    </row>
    <row r="29" ht="15.75" customHeight="1">
      <c r="A29" s="16">
        <v>45685.0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>SUM(JAN_2026!$B29:$O29)</f>
        <v>0</v>
      </c>
    </row>
    <row r="30" ht="15.75" customHeight="1">
      <c r="A30" s="16">
        <v>45686.0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>SUM(JAN_2026!$B30:$O30)</f>
        <v>0</v>
      </c>
    </row>
    <row r="31" ht="15.75" customHeight="1">
      <c r="A31" s="16">
        <v>45687.0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>SUM(JAN_2026!$B31:$O31)</f>
        <v>0</v>
      </c>
    </row>
    <row r="32" ht="15.75" customHeight="1">
      <c r="A32" s="16">
        <v>45688.0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>SUM(JAN_2026!$B32:$O32)</f>
        <v>0</v>
      </c>
    </row>
    <row r="33" ht="15.75" customHeight="1">
      <c r="A33" s="3" t="s">
        <v>27</v>
      </c>
      <c r="B33" s="3">
        <f>SUBTOTAL(109,JAN_2026!$B$2:$B$32)</f>
        <v>0</v>
      </c>
      <c r="C33" s="3">
        <f>SUBTOTAL(109,JAN_2026!$C$2:$C$32)</f>
        <v>0</v>
      </c>
      <c r="D33" s="3">
        <f>SUBTOTAL(109,JAN_2026!$D$2:$D$32)</f>
        <v>0</v>
      </c>
      <c r="E33" s="3">
        <f>SUBTOTAL(109,JAN_2026!$E$2:$E$32)</f>
        <v>0</v>
      </c>
      <c r="F33" s="3">
        <f>SUBTOTAL(109,JAN_2026!$F$2:$F$32)</f>
        <v>0</v>
      </c>
      <c r="G33" s="3">
        <f>SUBTOTAL(109,JAN_2026!$G$2:$G$32)</f>
        <v>0</v>
      </c>
      <c r="H33" s="3">
        <f>SUBTOTAL(109,JAN_2026!$H$2:$H$32)</f>
        <v>0</v>
      </c>
      <c r="I33" s="3">
        <f>SUBTOTAL(109,JAN_2026!$I$2:$I$32)</f>
        <v>0</v>
      </c>
      <c r="J33" s="3">
        <f>SUBTOTAL(109,JAN_2026!$J$2:$J$32)</f>
        <v>0</v>
      </c>
      <c r="K33" s="3">
        <f>SUBTOTAL(109,JAN_2026!$K$2:$K$32)</f>
        <v>0</v>
      </c>
      <c r="L33" s="3">
        <f>SUBTOTAL(109,JAN_2026!$L$2:$L$32)</f>
        <v>0</v>
      </c>
      <c r="M33" s="3">
        <f>SUBTOTAL(109,JAN_2026!$M$2:$M$32)</f>
        <v>0</v>
      </c>
      <c r="N33" s="3">
        <f>SUBTOTAL(109,JAN_2026!$N$2:$N$32)</f>
        <v>0</v>
      </c>
      <c r="O33" s="3">
        <f>SUBTOTAL(109,JAN_2026!$O$2:$O$32)</f>
        <v>0</v>
      </c>
      <c r="P33" s="3">
        <f>SUBTOTAL(109,JAN_2026!$P$2:$P$32)</f>
        <v>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0.86"/>
    <col customWidth="1" min="3" max="3" width="10.14"/>
    <col customWidth="1" min="4" max="4" width="10.43"/>
    <col customWidth="1" min="5" max="5" width="10.14"/>
    <col customWidth="1" min="6" max="6" width="10.29"/>
    <col customWidth="1" min="7" max="7" width="9.29"/>
    <col customWidth="1" min="8" max="8" width="9.43"/>
    <col customWidth="1" min="9" max="9" width="9.71"/>
    <col customWidth="1" min="10" max="10" width="10.14"/>
    <col customWidth="1" min="11" max="11" width="10.29"/>
    <col customWidth="1" min="12" max="12" width="10.71"/>
    <col customWidth="1" min="13" max="13" width="10.86"/>
    <col customWidth="1" min="14" max="14" width="10.43"/>
    <col customWidth="1" min="15" max="15" width="10.29"/>
    <col customWidth="1" min="16" max="16" width="11.29"/>
    <col customWidth="1" min="17" max="26" width="8.71"/>
  </cols>
  <sheetData>
    <row r="1">
      <c r="A1" s="7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15" t="s">
        <v>26</v>
      </c>
    </row>
    <row r="2">
      <c r="A2" s="16">
        <v>45689.0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>
        <f>SUM(FEB_2026!$B2:$O2)</f>
        <v>0</v>
      </c>
    </row>
    <row r="3">
      <c r="A3" s="16">
        <v>45690.0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SUM(FEB_2026!$B3:$O3)</f>
        <v>0</v>
      </c>
    </row>
    <row r="4">
      <c r="A4" s="16">
        <v>45691.0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>SUM(FEB_2026!$B4:$O4)</f>
        <v>0</v>
      </c>
    </row>
    <row r="5">
      <c r="A5" s="16">
        <v>45692.0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>SUM(FEB_2026!$B5:$O5)</f>
        <v>0</v>
      </c>
    </row>
    <row r="6">
      <c r="A6" s="16">
        <v>45693.0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>SUM(FEB_2026!$B6:$O6)</f>
        <v>0</v>
      </c>
    </row>
    <row r="7">
      <c r="A7" s="16">
        <v>45694.0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>SUM(FEB_2026!$B7:$O7)</f>
        <v>0</v>
      </c>
    </row>
    <row r="8">
      <c r="A8" s="16">
        <v>45695.0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>SUM(FEB_2026!$B8:$O8)</f>
        <v>0</v>
      </c>
    </row>
    <row r="9">
      <c r="A9" s="16">
        <v>45696.0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>SUM(FEB_2026!$B9:$O9)</f>
        <v>0</v>
      </c>
    </row>
    <row r="10">
      <c r="A10" s="16">
        <v>45697.0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SUM(FEB_2026!$B10:$O10)</f>
        <v>0</v>
      </c>
    </row>
    <row r="11">
      <c r="A11" s="16">
        <v>45698.0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>SUM(FEB_2026!$B11:$O11)</f>
        <v>0</v>
      </c>
    </row>
    <row r="12">
      <c r="A12" s="16">
        <v>45699.0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>SUM(FEB_2026!$B12:$O12)</f>
        <v>0</v>
      </c>
    </row>
    <row r="13">
      <c r="A13" s="16">
        <v>45700.0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>SUM(FEB_2026!$B13:$O13)</f>
        <v>0</v>
      </c>
    </row>
    <row r="14">
      <c r="A14" s="16">
        <v>45701.0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>SUM(FEB_2026!$B14:$O14)</f>
        <v>0</v>
      </c>
    </row>
    <row r="15">
      <c r="A15" s="16">
        <v>45702.0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>SUM(FEB_2026!$B15:$O15)</f>
        <v>0</v>
      </c>
    </row>
    <row r="16">
      <c r="A16" s="16">
        <v>45703.0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>SUM(FEB_2026!$B16:$O16)</f>
        <v>0</v>
      </c>
    </row>
    <row r="17">
      <c r="A17" s="16">
        <v>45704.0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>SUM(FEB_2026!$B17:$O17)</f>
        <v>0</v>
      </c>
    </row>
    <row r="18">
      <c r="A18" s="16">
        <v>45705.0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>SUM(FEB_2026!$B18:$O18)</f>
        <v>0</v>
      </c>
    </row>
    <row r="19">
      <c r="A19" s="16">
        <v>45706.0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>SUM(FEB_2026!$B19:$O19)</f>
        <v>0</v>
      </c>
    </row>
    <row r="20">
      <c r="A20" s="16">
        <v>45707.0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>SUM(FEB_2026!$B20:$O20)</f>
        <v>0</v>
      </c>
    </row>
    <row r="21" ht="15.75" customHeight="1">
      <c r="A21" s="16">
        <v>45708.0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>SUM(FEB_2026!$B21:$O21)</f>
        <v>0</v>
      </c>
    </row>
    <row r="22" ht="15.75" customHeight="1">
      <c r="A22" s="16">
        <v>45709.0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>SUM(FEB_2026!$B22:$O22)</f>
        <v>0</v>
      </c>
    </row>
    <row r="23" ht="15.75" customHeight="1">
      <c r="A23" s="16">
        <v>45710.0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>SUM(FEB_2026!$B23:$O23)</f>
        <v>0</v>
      </c>
    </row>
    <row r="24" ht="15.75" customHeight="1">
      <c r="A24" s="16">
        <v>45711.0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>SUM(FEB_2026!$B24:$O24)</f>
        <v>0</v>
      </c>
    </row>
    <row r="25" ht="15.75" customHeight="1">
      <c r="A25" s="16">
        <v>45712.0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>SUM(FEB_2026!$B25:$O25)</f>
        <v>0</v>
      </c>
    </row>
    <row r="26" ht="15.75" customHeight="1">
      <c r="A26" s="16">
        <v>45713.0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>SUM(FEB_2026!$B26:$O26)</f>
        <v>0</v>
      </c>
    </row>
    <row r="27" ht="15.75" customHeight="1">
      <c r="A27" s="16">
        <v>45714.0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>SUM(FEB_2026!$B27:$O27)</f>
        <v>0</v>
      </c>
    </row>
    <row r="28" ht="15.75" customHeight="1">
      <c r="A28" s="16">
        <v>45715.0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>SUM(FEB_2026!$B28:$O28)</f>
        <v>0</v>
      </c>
    </row>
    <row r="29" ht="15.75" customHeight="1">
      <c r="A29" s="16">
        <v>45716.0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>SUM(FEB_2026!$B29:$O29)</f>
        <v>0</v>
      </c>
    </row>
    <row r="30" ht="15.75" customHeight="1">
      <c r="A30" s="3" t="s">
        <v>27</v>
      </c>
      <c r="B30" s="3">
        <f>SUBTOTAL(109,FEB_2026!$B$2:$B$29)</f>
        <v>0</v>
      </c>
      <c r="C30" s="3">
        <f>SUBTOTAL(109,FEB_2026!$C$2:$C$29)</f>
        <v>0</v>
      </c>
      <c r="D30" s="3">
        <f>SUBTOTAL(109,FEB_2026!$D$2:$D$29)</f>
        <v>0</v>
      </c>
      <c r="E30" s="3">
        <f>SUBTOTAL(109,FEB_2026!$E$2:$E$29)</f>
        <v>0</v>
      </c>
      <c r="F30" s="3">
        <f>SUBTOTAL(109,FEB_2026!$F$2:$F$29)</f>
        <v>0</v>
      </c>
      <c r="G30" s="3">
        <f>SUBTOTAL(109,FEB_2026!$G$2:$G$29)</f>
        <v>0</v>
      </c>
      <c r="H30" s="3">
        <f>SUBTOTAL(109,FEB_2026!$H$2:$H$29)</f>
        <v>0</v>
      </c>
      <c r="I30" s="3">
        <f>SUBTOTAL(109,FEB_2026!$I$2:$I$29)</f>
        <v>0</v>
      </c>
      <c r="J30" s="3">
        <f>SUBTOTAL(109,FEB_2026!$J$2:$J$29)</f>
        <v>0</v>
      </c>
      <c r="K30" s="3">
        <f>SUBTOTAL(109,FEB_2026!$K$2:$K$29)</f>
        <v>0</v>
      </c>
      <c r="L30" s="3">
        <f>SUBTOTAL(109,FEB_2026!$L$2:$L$29)</f>
        <v>0</v>
      </c>
      <c r="M30" s="3">
        <f>SUBTOTAL(109,FEB_2026!$M$2:$M$29)</f>
        <v>0</v>
      </c>
      <c r="N30" s="3">
        <f>SUBTOTAL(109,FEB_2026!$N$2:$N$29)</f>
        <v>0</v>
      </c>
      <c r="O30" s="3">
        <f>SUBTOTAL(109,FEB_2026!$O$2:$O$29)</f>
        <v>0</v>
      </c>
      <c r="P30" s="3">
        <f>SUBTOTAL(109,FEB_2026!$P$2:$P$29)</f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2025-09-30T13:57:48Z</dcterms:created>
  <dc:creator>Z</dc:creator>
</cp:coreProperties>
</file>